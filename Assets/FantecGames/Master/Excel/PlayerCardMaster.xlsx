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rcu\OneDrive\デスクトップ\"/>
    </mc:Choice>
  </mc:AlternateContent>
  <xr:revisionPtr revIDLastSave="0" documentId="13_ncr:1_{DA8E6AEE-7913-439A-922D-725CB032E630}" xr6:coauthVersionLast="47" xr6:coauthVersionMax="47" xr10:uidLastSave="{00000000-0000-0000-0000-000000000000}"/>
  <bookViews>
    <workbookView xWindow="32535" yWindow="990" windowWidth="21600" windowHeight="14490" xr2:uid="{00000000-000D-0000-FFFF-FFFF00000000}"/>
  </bookViews>
  <sheets>
    <sheet name="dataList" sheetId="1" r:id="rId1"/>
  </sheets>
  <definedNames>
    <definedName name="_xlnm._FilterDatabase" localSheetId="0" hidden="1">dataList!$A$10:$AH$16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1" l="1"/>
  <c r="S8" i="1"/>
  <c r="Q8" i="1"/>
  <c r="R8" i="1"/>
  <c r="X8" i="1"/>
  <c r="AA8" i="1"/>
  <c r="Z8" i="1"/>
  <c r="AF8" i="1"/>
  <c r="W8" i="1"/>
  <c r="AG8" i="1"/>
  <c r="AE8" i="1"/>
  <c r="AD8" i="1"/>
  <c r="J8" i="1"/>
  <c r="AB8" i="1"/>
  <c r="AC8" i="1"/>
  <c r="AH8" i="1"/>
  <c r="Y8" i="1"/>
  <c r="V8" i="1"/>
  <c r="U8" i="1"/>
  <c r="P8" i="1"/>
  <c r="O8" i="1"/>
  <c r="N8" i="1"/>
  <c r="M8" i="1"/>
  <c r="L8" i="1"/>
  <c r="K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<sst xmlns="http://schemas.openxmlformats.org/spreadsheetml/2006/main" count="139" uniqueCount="101">
  <si>
    <t>R1</t>
    <phoneticPr fontId="2"/>
  </si>
  <si>
    <t>R2</t>
    <phoneticPr fontId="2"/>
  </si>
  <si>
    <t>R3</t>
    <phoneticPr fontId="2"/>
  </si>
  <si>
    <t>R4</t>
    <phoneticPr fontId="2"/>
  </si>
  <si>
    <t>R5</t>
    <phoneticPr fontId="2"/>
  </si>
  <si>
    <t>R6</t>
    <phoneticPr fontId="2"/>
  </si>
  <si>
    <t>#</t>
    <phoneticPr fontId="4"/>
  </si>
  <si>
    <t>↓☆1=0で換算</t>
    <rPh sb="6" eb="8">
      <t>カンサン</t>
    </rPh>
    <phoneticPr fontId="4"/>
  </si>
  <si>
    <t>#無効</t>
    <rPh sb="1" eb="3">
      <t>ムコウ</t>
    </rPh>
    <phoneticPr fontId="4"/>
  </si>
  <si>
    <t>カードID</t>
    <phoneticPr fontId="4"/>
  </si>
  <si>
    <t>キャラ固有ID</t>
    <rPh sb="3" eb="5">
      <t>コユウ</t>
    </rPh>
    <phoneticPr fontId="4"/>
  </si>
  <si>
    <t>読み仮名</t>
    <rPh sb="0" eb="1">
      <t>ヨ</t>
    </rPh>
    <rPh sb="2" eb="4">
      <t>ガナ</t>
    </rPh>
    <phoneticPr fontId="4"/>
  </si>
  <si>
    <t>ダメージエフェクト用属性</t>
    <rPh sb="9" eb="10">
      <t>ヨウ</t>
    </rPh>
    <rPh sb="10" eb="12">
      <t>ゾクセイ</t>
    </rPh>
    <phoneticPr fontId="4"/>
  </si>
  <si>
    <t>最小HP</t>
    <rPh sb="0" eb="2">
      <t>サイショウ</t>
    </rPh>
    <phoneticPr fontId="4"/>
  </si>
  <si>
    <t>最大HP</t>
    <rPh sb="0" eb="2">
      <t>サイダイ</t>
    </rPh>
    <phoneticPr fontId="4"/>
  </si>
  <si>
    <t>最小ATK</t>
    <rPh sb="0" eb="2">
      <t>サイショウ</t>
    </rPh>
    <phoneticPr fontId="4"/>
  </si>
  <si>
    <t>最大ATK</t>
    <rPh sb="0" eb="2">
      <t>サイダイ</t>
    </rPh>
    <phoneticPr fontId="4"/>
  </si>
  <si>
    <t>ダメージ幅</t>
    <rPh sb="4" eb="5">
      <t>ハバ</t>
    </rPh>
    <phoneticPr fontId="4"/>
  </si>
  <si>
    <t>経験値タイプ</t>
    <rPh sb="0" eb="3">
      <t>ケイケンチ</t>
    </rPh>
    <phoneticPr fontId="4"/>
  </si>
  <si>
    <t>入手開始スケ</t>
    <rPh sb="0" eb="2">
      <t>ニュウシュ</t>
    </rPh>
    <rPh sb="2" eb="4">
      <t>カイシ</t>
    </rPh>
    <phoneticPr fontId="4"/>
  </si>
  <si>
    <t>入手終了スケ</t>
    <rPh sb="0" eb="2">
      <t>ニュウシュ</t>
    </rPh>
    <rPh sb="2" eb="4">
      <t>シュウリョウ</t>
    </rPh>
    <phoneticPr fontId="4"/>
  </si>
  <si>
    <t>active</t>
  </si>
  <si>
    <t>cardId</t>
    <phoneticPr fontId="4"/>
  </si>
  <si>
    <t>originId</t>
    <phoneticPr fontId="4"/>
  </si>
  <si>
    <t>sortId</t>
    <phoneticPr fontId="4"/>
  </si>
  <si>
    <t>charaName</t>
    <phoneticPr fontId="4"/>
  </si>
  <si>
    <t>readCharaname</t>
    <phoneticPr fontId="4"/>
  </si>
  <si>
    <t>attributeType</t>
    <phoneticPr fontId="4"/>
  </si>
  <si>
    <t>minHP</t>
    <phoneticPr fontId="4"/>
  </si>
  <si>
    <t>maxHP</t>
    <phoneticPr fontId="4"/>
  </si>
  <si>
    <t>minATK</t>
    <phoneticPr fontId="4"/>
  </si>
  <si>
    <t>maxATK</t>
    <phoneticPr fontId="4"/>
  </si>
  <si>
    <t>damageRange</t>
    <phoneticPr fontId="4"/>
  </si>
  <si>
    <t>expTableKey</t>
    <phoneticPr fontId="4"/>
  </si>
  <si>
    <t>getStartSchedule</t>
    <phoneticPr fontId="4"/>
  </si>
  <si>
    <t>getEndSchedule</t>
    <phoneticPr fontId="4"/>
  </si>
  <si>
    <t>R1</t>
    <phoneticPr fontId="4"/>
  </si>
  <si>
    <t>2000/1/1 0:00:00</t>
    <phoneticPr fontId="4"/>
  </si>
  <si>
    <t>2099/12/31 23:59:59</t>
    <phoneticPr fontId="4"/>
  </si>
  <si>
    <t>#end</t>
    <phoneticPr fontId="4"/>
  </si>
  <si>
    <t>rarityType</t>
    <phoneticPr fontId="4"/>
  </si>
  <si>
    <t>minSPD</t>
    <phoneticPr fontId="2"/>
  </si>
  <si>
    <t>maxSPD</t>
    <phoneticPr fontId="4"/>
  </si>
  <si>
    <t>最小SPD</t>
    <rPh sb="0" eb="2">
      <t>サイショウ</t>
    </rPh>
    <phoneticPr fontId="2"/>
  </si>
  <si>
    <t>最大SPD</t>
    <rPh sb="0" eb="2">
      <t>サイダイ</t>
    </rPh>
    <phoneticPr fontId="4"/>
  </si>
  <si>
    <t>初期レア度</t>
    <rPh sb="0" eb="2">
      <t>ショキ</t>
    </rPh>
    <rPh sb="4" eb="5">
      <t>ド</t>
    </rPh>
    <phoneticPr fontId="4"/>
  </si>
  <si>
    <t>moveType</t>
    <phoneticPr fontId="2"/>
  </si>
  <si>
    <t>遠</t>
    <rPh sb="0" eb="1">
      <t>エンキョリ</t>
    </rPh>
    <phoneticPr fontId="2"/>
  </si>
  <si>
    <t>tagNames</t>
    <phoneticPr fontId="4"/>
  </si>
  <si>
    <t>Card_ExpTable_Precocity</t>
  </si>
  <si>
    <t>NONE</t>
    <phoneticPr fontId="1"/>
  </si>
  <si>
    <t>ヒット種別</t>
    <rPh sb="3" eb="5">
      <t>sy</t>
    </rPh>
    <phoneticPr fontId="4"/>
  </si>
  <si>
    <t>hitType</t>
    <phoneticPr fontId="4"/>
  </si>
  <si>
    <t>Magi0</t>
    <phoneticPr fontId="2"/>
  </si>
  <si>
    <t>マギ0</t>
    <phoneticPr fontId="4"/>
  </si>
  <si>
    <t>タグ名</t>
    <rPh sb="2" eb="3">
      <t>メイ</t>
    </rPh>
    <phoneticPr fontId="4"/>
  </si>
  <si>
    <t>通常</t>
  </si>
  <si>
    <t>通常</t>
    <rPh sb="0" eb="2">
      <t>ツウジョウ</t>
    </rPh>
    <phoneticPr fontId="1"/>
  </si>
  <si>
    <t>近</t>
    <rPh sb="0" eb="1">
      <t>キン</t>
    </rPh>
    <phoneticPr fontId="2"/>
  </si>
  <si>
    <t>Card_GrowthTable_Precocity</t>
  </si>
  <si>
    <t>0,-200,0</t>
    <phoneticPr fontId="2"/>
  </si>
  <si>
    <t>Live2DlocalPosition</t>
    <phoneticPr fontId="2"/>
  </si>
  <si>
    <t>Live2Dを表示させる標準位置</t>
    <rPh sb="7" eb="9">
      <t>ヒョウジ</t>
    </rPh>
    <rPh sb="12" eb="14">
      <t>ヒョウジュン</t>
    </rPh>
    <rPh sb="14" eb="16">
      <t>イチ</t>
    </rPh>
    <phoneticPr fontId="2"/>
  </si>
  <si>
    <t>Live2DlocalScale</t>
  </si>
  <si>
    <t>Live2Dのデフォルトスケール</t>
  </si>
  <si>
    <t>1000,1000,1</t>
    <phoneticPr fontId="2"/>
  </si>
  <si>
    <t>自陣の移動順</t>
    <rPh sb="0" eb="2">
      <t>ジジン</t>
    </rPh>
    <rPh sb="3" eb="5">
      <t>イドウ</t>
    </rPh>
    <rPh sb="5" eb="6">
      <t>ジュン</t>
    </rPh>
    <phoneticPr fontId="2"/>
  </si>
  <si>
    <t>Live2Dが使用するモーションデータ</t>
    <rPh sb="7" eb="9">
      <t>シヨウ</t>
    </rPh>
    <phoneticPr fontId="2"/>
  </si>
  <si>
    <t>QuetaOverrideId</t>
    <phoneticPr fontId="4"/>
  </si>
  <si>
    <t>使用するクエタオーバーライド</t>
    <rPh sb="0" eb="2">
      <t>シヨウ</t>
    </rPh>
    <phoneticPr fontId="2"/>
  </si>
  <si>
    <t>OverrideId</t>
  </si>
  <si>
    <t>ExsaOverrideId</t>
    <phoneticPr fontId="4"/>
  </si>
  <si>
    <t>SectaOverrideId</t>
    <phoneticPr fontId="4"/>
  </si>
  <si>
    <t>Move</t>
    <phoneticPr fontId="2"/>
  </si>
  <si>
    <t>移動力</t>
    <rPh sb="0" eb="3">
      <t>イドウリョク</t>
    </rPh>
    <phoneticPr fontId="2"/>
  </si>
  <si>
    <t>使用するゼタオーバーライド</t>
    <rPh sb="0" eb="2">
      <t>シヨウ</t>
    </rPh>
    <phoneticPr fontId="2"/>
  </si>
  <si>
    <t>使用するエクサオーバーライド</t>
    <rPh sb="0" eb="2">
      <t>シヨウ</t>
    </rPh>
    <phoneticPr fontId="4"/>
  </si>
  <si>
    <t>Card_ExpTable_Precocity</t>
    <phoneticPr fontId="2"/>
  </si>
  <si>
    <t>Magi1</t>
  </si>
  <si>
    <t>マギ1</t>
  </si>
  <si>
    <t>↓0～8までの値を設定</t>
    <rPh sb="7" eb="8">
      <t>アタイ</t>
    </rPh>
    <rPh sb="9" eb="11">
      <t>セッテイ</t>
    </rPh>
    <phoneticPr fontId="2"/>
  </si>
  <si>
    <t>攻撃時のタイプ</t>
    <rPh sb="0" eb="3">
      <t>コウゲキジ</t>
    </rPh>
    <phoneticPr fontId="2"/>
  </si>
  <si>
    <t>↓遠距離攻撃か近距離攻撃か</t>
    <rPh sb="1" eb="4">
      <t>エンキョリ</t>
    </rPh>
    <rPh sb="4" eb="6">
      <t>コウゲキ</t>
    </rPh>
    <rPh sb="7" eb="10">
      <t>キンキョリ</t>
    </rPh>
    <rPh sb="10" eb="12">
      <t>コウゲキ</t>
    </rPh>
    <phoneticPr fontId="2"/>
  </si>
  <si>
    <t>←各レアリティの限界レベル</t>
    <rPh sb="1" eb="2">
      <t>カク</t>
    </rPh>
    <rPh sb="8" eb="10">
      <t>ゲンカイ</t>
    </rPh>
    <phoneticPr fontId="2"/>
  </si>
  <si>
    <t>Magi2</t>
  </si>
  <si>
    <t>マギの表示名</t>
    <rPh sb="3" eb="6">
      <t>ヒョウジメイ</t>
    </rPh>
    <phoneticPr fontId="4"/>
  </si>
  <si>
    <t>マギ2</t>
  </si>
  <si>
    <t>成長曲線タイプ</t>
    <rPh sb="0" eb="2">
      <t>セイチョウ</t>
    </rPh>
    <rPh sb="2" eb="4">
      <t>キョクセン</t>
    </rPh>
    <phoneticPr fontId="2"/>
  </si>
  <si>
    <t>growthTableKey</t>
  </si>
  <si>
    <t>MagiDark</t>
  </si>
  <si>
    <t>マギダーク</t>
  </si>
  <si>
    <t>AnimationClip</t>
  </si>
  <si>
    <t>mtn_02.anim,mtn_03.anim,mtn_04.anim,special_01.anim,special_02.anim,special_03.anim</t>
    <phoneticPr fontId="2"/>
  </si>
  <si>
    <t>behaviorAI</t>
    <phoneticPr fontId="2"/>
  </si>
  <si>
    <t>[8,5,1,4,0,7,3,6,2]</t>
    <phoneticPr fontId="2"/>
  </si>
  <si>
    <t>[8,4,1,5,2,6,3,7,0]</t>
  </si>
  <si>
    <t>[8,4,1,5,2,6,3,7,0]</t>
    <phoneticPr fontId="2"/>
  </si>
  <si>
    <t>[8,5,1,4,0,7,3,6,2]</t>
    <phoneticPr fontId="2"/>
  </si>
  <si>
    <t>mtn_02.anim,mtn_03.anim,mtn_04.anim,special_01.anim,special_02.anim,special_03.anim</t>
    <phoneticPr fontId="2"/>
  </si>
  <si>
    <t>maxLevel</t>
    <phoneticPr fontId="2"/>
  </si>
  <si>
    <t>最大レベル</t>
    <rPh sb="0" eb="2">
      <t>サイダイ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</si>
</sst>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zoomScale="70" zoomScaleNormal="70" workbookViewId="0">
      <selection activeCell="S15" sqref="S15"/>
    </sheetView>
  </sheetViews>
  <sheetFormatPr defaultColWidth="8.875" defaultRowHeight="18.75" outlineLevelCol="1"/>
  <cols>
    <col min="1" max="1" width="6.375" bestFit="1" customWidth="1"/>
    <col min="3" max="3" width="10.125" bestFit="1" customWidth="1"/>
    <col min="6" max="6" width="20.875" customWidth="1"/>
    <col min="7" max="7" width="15.125" customWidth="1"/>
    <col min="8" max="8" width="18" bestFit="1" customWidth="1"/>
    <col min="9" max="10" width="8.875" customWidth="1"/>
    <col min="11" max="11" width="8.875" customWidth="1" outlineLevel="1"/>
    <col min="12" max="12" width="13.125" customWidth="1" outlineLevel="1"/>
    <col min="13" max="13" width="11.375" customWidth="1" outlineLevel="1"/>
    <col min="14" max="14" width="10.625" customWidth="1" outlineLevel="1"/>
    <col min="15" max="21" width="8.875" customWidth="1" outlineLevel="1"/>
    <col min="22" max="22" width="14.625" customWidth="1" outlineLevel="1"/>
    <col min="23" max="24" width="36.875" customWidth="1" outlineLevel="1"/>
    <col min="25" max="25" width="19.375" customWidth="1" outlineLevel="1"/>
    <col min="26" max="26" width="15.125" customWidth="1" outlineLevel="1"/>
    <col min="27" max="27" width="38.125" customWidth="1"/>
    <col min="28" max="31" width="37.875" customWidth="1"/>
    <col min="32" max="32" width="21.75" customWidth="1"/>
    <col min="33" max="34" width="14.625" customWidth="1"/>
  </cols>
  <sheetData>
    <row r="1" spans="1:34" ht="18.600000000000001" customHeight="1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t="s">
        <v>0</v>
      </c>
      <c r="L1" s="1">
        <v>0</v>
      </c>
      <c r="M1" s="1">
        <v>20</v>
      </c>
      <c r="N1" s="1" t="s">
        <v>83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G1" s="1"/>
      <c r="AH1" s="2"/>
    </row>
    <row r="2" spans="1:34" ht="18.600000000000001" customHeight="1">
      <c r="A2" s="1" t="s">
        <v>6</v>
      </c>
      <c r="B2" s="1"/>
      <c r="C2" s="1"/>
      <c r="D2" s="1"/>
      <c r="E2" s="1"/>
      <c r="F2" s="1"/>
      <c r="G2" s="1"/>
      <c r="H2" s="1"/>
      <c r="I2" s="1"/>
      <c r="J2" s="1"/>
      <c r="K2" t="s">
        <v>1</v>
      </c>
      <c r="L2" s="1">
        <v>1</v>
      </c>
      <c r="M2" s="1">
        <v>30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G2" s="1"/>
      <c r="AH2" s="2"/>
    </row>
    <row r="3" spans="1:34" ht="18.600000000000001" customHeight="1">
      <c r="A3" s="1" t="s">
        <v>6</v>
      </c>
      <c r="B3" s="1"/>
      <c r="C3" s="1"/>
      <c r="D3" s="1"/>
      <c r="E3" s="1"/>
      <c r="F3" s="1"/>
      <c r="G3" s="1"/>
      <c r="H3" s="1"/>
      <c r="I3" s="1"/>
      <c r="J3" s="1"/>
      <c r="K3" t="s">
        <v>2</v>
      </c>
      <c r="L3" s="1">
        <v>2</v>
      </c>
      <c r="M3" s="1">
        <v>50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G3" s="1"/>
      <c r="AH3" s="2"/>
    </row>
    <row r="4" spans="1:34" ht="18.600000000000001" customHeight="1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t="s">
        <v>3</v>
      </c>
      <c r="L4" s="1">
        <v>3</v>
      </c>
      <c r="M4" s="1">
        <v>70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G4" s="1"/>
      <c r="AH4" s="2"/>
    </row>
    <row r="5" spans="1:34" ht="18.600000000000001" customHeight="1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  <c r="K5" t="s">
        <v>4</v>
      </c>
      <c r="L5" s="1">
        <v>4</v>
      </c>
      <c r="M5" s="1">
        <v>80</v>
      </c>
      <c r="N5" s="1"/>
      <c r="O5" s="1"/>
      <c r="P5" s="1"/>
      <c r="Q5" s="1"/>
      <c r="R5" s="1"/>
      <c r="S5" s="1"/>
      <c r="T5" s="1"/>
      <c r="U5" s="1"/>
      <c r="V5" s="1"/>
      <c r="Y5" s="1"/>
      <c r="Z5" s="1"/>
      <c r="AA5" s="1"/>
      <c r="AB5" s="1"/>
      <c r="AC5" s="1"/>
      <c r="AG5" s="1"/>
      <c r="AH5" s="2"/>
    </row>
    <row r="6" spans="1:34" ht="18.600000000000001" customHeight="1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  <c r="K6" t="s">
        <v>5</v>
      </c>
      <c r="L6" s="1">
        <v>5</v>
      </c>
      <c r="M6" s="1">
        <v>100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D6" s="1"/>
      <c r="AE6" s="1"/>
      <c r="AG6" s="1"/>
      <c r="AH6" s="2"/>
    </row>
    <row r="7" spans="1:34" ht="18.600000000000001" customHeight="1">
      <c r="A7" s="1" t="s">
        <v>6</v>
      </c>
      <c r="B7" s="1"/>
      <c r="C7" s="1"/>
      <c r="D7" s="1"/>
      <c r="E7" s="1"/>
      <c r="F7" s="1"/>
      <c r="G7" s="1"/>
      <c r="H7" s="1"/>
      <c r="I7" s="1"/>
      <c r="J7" s="1" t="s">
        <v>82</v>
      </c>
      <c r="K7" s="1"/>
      <c r="L7" s="1" t="s">
        <v>7</v>
      </c>
      <c r="M7" s="1"/>
      <c r="N7" s="1"/>
      <c r="O7" s="1"/>
      <c r="P7" s="1"/>
      <c r="Q7" s="1"/>
      <c r="R7" s="1"/>
      <c r="S7" s="1"/>
      <c r="T7" s="1"/>
      <c r="U7" s="1"/>
      <c r="V7" s="1"/>
      <c r="W7" t="s">
        <v>80</v>
      </c>
      <c r="Y7" s="1"/>
      <c r="Z7" s="1"/>
      <c r="AA7" s="1"/>
      <c r="AB7" s="1"/>
      <c r="AC7" s="1"/>
      <c r="AG7" s="1"/>
      <c r="AH7" s="2"/>
    </row>
    <row r="8" spans="1:34" ht="18.600000000000001" customHeight="1">
      <c r="A8" s="1" t="s">
        <v>6</v>
      </c>
      <c r="B8" s="1">
        <f>COLUMN()</f>
        <v>2</v>
      </c>
      <c r="C8" s="1">
        <f>COLUMN()</f>
        <v>3</v>
      </c>
      <c r="D8" s="1">
        <f>COLUMN()</f>
        <v>4</v>
      </c>
      <c r="E8" s="1">
        <f>COLUMN()</f>
        <v>5</v>
      </c>
      <c r="F8" s="1">
        <f>COLUMN()</f>
        <v>6</v>
      </c>
      <c r="G8" s="1">
        <f>COLUMN()</f>
        <v>7</v>
      </c>
      <c r="H8" s="1">
        <f>COLUMN()</f>
        <v>8</v>
      </c>
      <c r="I8" s="1">
        <f>COLUMN()</f>
        <v>9</v>
      </c>
      <c r="J8" s="1">
        <f>COLUMN()</f>
        <v>10</v>
      </c>
      <c r="K8" s="1">
        <f>COLUMN()</f>
        <v>11</v>
      </c>
      <c r="L8" s="1">
        <f>COLUMN()</f>
        <v>12</v>
      </c>
      <c r="M8" s="1">
        <f>COLUMN()</f>
        <v>13</v>
      </c>
      <c r="N8" s="1">
        <f>COLUMN()</f>
        <v>14</v>
      </c>
      <c r="O8" s="1">
        <f>COLUMN()</f>
        <v>15</v>
      </c>
      <c r="P8" s="1">
        <f>COLUMN()</f>
        <v>16</v>
      </c>
      <c r="Q8" s="1">
        <f>COLUMN()</f>
        <v>17</v>
      </c>
      <c r="R8" s="1">
        <f>COLUMN()</f>
        <v>18</v>
      </c>
      <c r="S8" s="1">
        <f>COLUMN()</f>
        <v>19</v>
      </c>
      <c r="T8" s="1">
        <f>COLUMN()</f>
        <v>20</v>
      </c>
      <c r="U8" s="1">
        <f>COLUMN()</f>
        <v>21</v>
      </c>
      <c r="V8" s="1">
        <f>COLUMN()</f>
        <v>22</v>
      </c>
      <c r="W8" s="1">
        <f>COLUMN()</f>
        <v>23</v>
      </c>
      <c r="X8" s="1">
        <f>COLUMN()</f>
        <v>24</v>
      </c>
      <c r="Y8" s="1">
        <f>COLUMN()</f>
        <v>25</v>
      </c>
      <c r="Z8" s="1">
        <f>COLUMN()</f>
        <v>26</v>
      </c>
      <c r="AA8" s="1">
        <f>COLUMN()</f>
        <v>27</v>
      </c>
      <c r="AB8" s="1">
        <f>COLUMN()</f>
        <v>28</v>
      </c>
      <c r="AC8" s="1">
        <f>COLUMN()</f>
        <v>29</v>
      </c>
      <c r="AD8" s="1">
        <f>COLUMN()</f>
        <v>30</v>
      </c>
      <c r="AE8" s="1">
        <f>COLUMN()</f>
        <v>31</v>
      </c>
      <c r="AF8" s="1">
        <f>COLUMN()</f>
        <v>32</v>
      </c>
      <c r="AG8" s="1">
        <f>COLUMN()</f>
        <v>33</v>
      </c>
      <c r="AH8" s="1">
        <f>COLUMN()</f>
        <v>34</v>
      </c>
    </row>
    <row r="9" spans="1:34" ht="18.600000000000001" customHeight="1">
      <c r="A9" s="1" t="s">
        <v>8</v>
      </c>
      <c r="B9" s="1"/>
      <c r="C9" s="1" t="s">
        <v>9</v>
      </c>
      <c r="D9" s="1" t="s">
        <v>10</v>
      </c>
      <c r="E9" s="1"/>
      <c r="F9" s="1" t="s">
        <v>85</v>
      </c>
      <c r="G9" s="1" t="s">
        <v>11</v>
      </c>
      <c r="H9" s="1" t="s">
        <v>51</v>
      </c>
      <c r="I9" s="1" t="s">
        <v>12</v>
      </c>
      <c r="J9" s="1" t="s">
        <v>81</v>
      </c>
      <c r="K9" s="1"/>
      <c r="L9" s="1" t="s">
        <v>45</v>
      </c>
      <c r="M9" s="1" t="s">
        <v>13</v>
      </c>
      <c r="N9" s="1" t="s">
        <v>14</v>
      </c>
      <c r="O9" s="1" t="s">
        <v>15</v>
      </c>
      <c r="P9" s="1" t="s">
        <v>16</v>
      </c>
      <c r="Q9" s="1" t="s">
        <v>43</v>
      </c>
      <c r="R9" s="1" t="s">
        <v>44</v>
      </c>
      <c r="S9" s="1" t="s">
        <v>100</v>
      </c>
      <c r="T9" s="1" t="s">
        <v>74</v>
      </c>
      <c r="U9" s="1" t="s">
        <v>17</v>
      </c>
      <c r="V9" s="1" t="s">
        <v>55</v>
      </c>
      <c r="W9" s="1" t="s">
        <v>66</v>
      </c>
      <c r="X9" s="1" t="s">
        <v>87</v>
      </c>
      <c r="Y9" s="1" t="s">
        <v>18</v>
      </c>
      <c r="Z9" s="1" t="s">
        <v>70</v>
      </c>
      <c r="AA9" s="1" t="s">
        <v>76</v>
      </c>
      <c r="AB9" s="1" t="s">
        <v>75</v>
      </c>
      <c r="AC9" s="1" t="s">
        <v>69</v>
      </c>
      <c r="AD9" s="1" t="s">
        <v>62</v>
      </c>
      <c r="AE9" s="1" t="s">
        <v>64</v>
      </c>
      <c r="AF9" s="1" t="s">
        <v>67</v>
      </c>
      <c r="AG9" s="2" t="s">
        <v>19</v>
      </c>
      <c r="AH9" s="1" t="s">
        <v>20</v>
      </c>
    </row>
    <row r="10" spans="1:34" ht="18.600000000000001" customHeight="1">
      <c r="A10" s="1"/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52</v>
      </c>
      <c r="I10" s="1" t="s">
        <v>27</v>
      </c>
      <c r="J10" s="1" t="s">
        <v>46</v>
      </c>
      <c r="K10" s="1" t="s">
        <v>6</v>
      </c>
      <c r="L10" s="1" t="s">
        <v>40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41</v>
      </c>
      <c r="R10" s="1" t="s">
        <v>42</v>
      </c>
      <c r="S10" s="1" t="s">
        <v>99</v>
      </c>
      <c r="T10" s="1" t="s">
        <v>73</v>
      </c>
      <c r="U10" s="1" t="s">
        <v>32</v>
      </c>
      <c r="V10" s="1" t="s">
        <v>48</v>
      </c>
      <c r="W10" s="1" t="s">
        <v>93</v>
      </c>
      <c r="X10" s="1" t="s">
        <v>88</v>
      </c>
      <c r="Y10" s="1" t="s">
        <v>33</v>
      </c>
      <c r="Z10" s="1" t="s">
        <v>70</v>
      </c>
      <c r="AA10" s="1" t="s">
        <v>71</v>
      </c>
      <c r="AB10" s="1" t="s">
        <v>72</v>
      </c>
      <c r="AC10" s="1" t="s">
        <v>68</v>
      </c>
      <c r="AD10" s="1" t="s">
        <v>61</v>
      </c>
      <c r="AE10" s="1" t="s">
        <v>63</v>
      </c>
      <c r="AF10" t="s">
        <v>91</v>
      </c>
      <c r="AG10" s="2" t="s">
        <v>34</v>
      </c>
      <c r="AH10" s="1" t="s">
        <v>35</v>
      </c>
    </row>
    <row r="11" spans="1:34" ht="18.600000000000001" customHeight="1">
      <c r="A11" s="1"/>
      <c r="B11" t="b">
        <v>1</v>
      </c>
      <c r="C11" s="3">
        <v>10001100</v>
      </c>
      <c r="D11" s="1">
        <v>10000</v>
      </c>
      <c r="E11" s="1">
        <v>1</v>
      </c>
      <c r="F11" s="1" t="s">
        <v>53</v>
      </c>
      <c r="G11" s="1" t="s">
        <v>54</v>
      </c>
      <c r="H11" s="1" t="s">
        <v>50</v>
      </c>
      <c r="I11" s="1" t="s">
        <v>57</v>
      </c>
      <c r="J11" s="1" t="s">
        <v>58</v>
      </c>
      <c r="K11" s="1"/>
      <c r="L11" s="1" t="s">
        <v>36</v>
      </c>
      <c r="M11" s="1">
        <v>1400</v>
      </c>
      <c r="N11" s="1">
        <v>4200</v>
      </c>
      <c r="O11" s="1">
        <v>120</v>
      </c>
      <c r="P11" s="1">
        <v>1600</v>
      </c>
      <c r="Q11" s="1">
        <v>25</v>
      </c>
      <c r="R11" s="1">
        <v>250</v>
      </c>
      <c r="S11" s="1">
        <v>100</v>
      </c>
      <c r="T11" s="1">
        <v>4</v>
      </c>
      <c r="U11" s="1">
        <v>5</v>
      </c>
      <c r="V11" s="1"/>
      <c r="W11" s="1" t="s">
        <v>94</v>
      </c>
      <c r="X11" s="1" t="s">
        <v>59</v>
      </c>
      <c r="Y11" s="1" t="s">
        <v>77</v>
      </c>
      <c r="Z11" s="1">
        <v>1000011</v>
      </c>
      <c r="AA11" s="1">
        <v>1000012</v>
      </c>
      <c r="AB11" s="1">
        <v>1000013</v>
      </c>
      <c r="AC11" s="1">
        <v>1000014</v>
      </c>
      <c r="AD11" s="1" t="s">
        <v>60</v>
      </c>
      <c r="AE11" s="1" t="s">
        <v>65</v>
      </c>
      <c r="AF11" t="s">
        <v>92</v>
      </c>
      <c r="AG11" s="2" t="s">
        <v>37</v>
      </c>
      <c r="AH11" s="2" t="s">
        <v>38</v>
      </c>
    </row>
    <row r="12" spans="1:34" ht="18.600000000000001" customHeight="1">
      <c r="A12" s="1"/>
      <c r="B12" t="b">
        <v>1</v>
      </c>
      <c r="C12" s="3">
        <v>10001101</v>
      </c>
      <c r="D12" s="1">
        <v>10001</v>
      </c>
      <c r="E12" s="1">
        <v>2</v>
      </c>
      <c r="F12" s="1" t="s">
        <v>78</v>
      </c>
      <c r="G12" s="1" t="s">
        <v>79</v>
      </c>
      <c r="H12" s="1" t="s">
        <v>50</v>
      </c>
      <c r="I12" s="1" t="s">
        <v>56</v>
      </c>
      <c r="J12" s="1" t="s">
        <v>47</v>
      </c>
      <c r="K12" s="1"/>
      <c r="L12" s="1" t="s">
        <v>36</v>
      </c>
      <c r="M12" s="1">
        <v>1500</v>
      </c>
      <c r="N12" s="1">
        <v>4500</v>
      </c>
      <c r="O12" s="1">
        <v>100</v>
      </c>
      <c r="P12" s="1">
        <v>600</v>
      </c>
      <c r="Q12" s="1">
        <v>10</v>
      </c>
      <c r="R12" s="1">
        <v>100</v>
      </c>
      <c r="S12" s="1">
        <v>100</v>
      </c>
      <c r="T12" s="1">
        <v>3</v>
      </c>
      <c r="U12" s="1">
        <v>5</v>
      </c>
      <c r="V12" s="1"/>
      <c r="W12" s="1" t="s">
        <v>97</v>
      </c>
      <c r="X12" s="1" t="s">
        <v>59</v>
      </c>
      <c r="Y12" s="1" t="s">
        <v>49</v>
      </c>
      <c r="Z12" s="1">
        <v>1000011</v>
      </c>
      <c r="AA12" s="1">
        <v>1000012</v>
      </c>
      <c r="AB12" s="1">
        <v>1000013</v>
      </c>
      <c r="AC12" s="1">
        <v>1000014</v>
      </c>
      <c r="AD12" s="1" t="s">
        <v>60</v>
      </c>
      <c r="AE12" s="1" t="s">
        <v>65</v>
      </c>
      <c r="AF12" t="s">
        <v>98</v>
      </c>
      <c r="AG12" s="2" t="s">
        <v>37</v>
      </c>
      <c r="AH12" s="2" t="s">
        <v>38</v>
      </c>
    </row>
    <row r="13" spans="1:34" ht="18.600000000000001" customHeight="1">
      <c r="A13" s="1"/>
      <c r="B13" t="b">
        <v>1</v>
      </c>
      <c r="C13" s="3">
        <v>10001102</v>
      </c>
      <c r="D13" s="1">
        <v>10002</v>
      </c>
      <c r="E13" s="1">
        <v>3</v>
      </c>
      <c r="F13" s="1" t="s">
        <v>84</v>
      </c>
      <c r="G13" s="1" t="s">
        <v>86</v>
      </c>
      <c r="H13" s="1" t="s">
        <v>50</v>
      </c>
      <c r="I13" s="1" t="s">
        <v>56</v>
      </c>
      <c r="J13" s="1" t="s">
        <v>47</v>
      </c>
      <c r="K13" s="1"/>
      <c r="L13" s="1" t="s">
        <v>36</v>
      </c>
      <c r="M13" s="1">
        <v>1400</v>
      </c>
      <c r="N13" s="1">
        <v>3850</v>
      </c>
      <c r="O13" s="1">
        <v>120</v>
      </c>
      <c r="P13" s="1">
        <v>400</v>
      </c>
      <c r="Q13" s="1">
        <v>50</v>
      </c>
      <c r="R13" s="1">
        <v>350</v>
      </c>
      <c r="S13" s="1">
        <v>100</v>
      </c>
      <c r="T13" s="1">
        <v>1</v>
      </c>
      <c r="U13" s="1">
        <v>5</v>
      </c>
      <c r="V13" s="1"/>
      <c r="W13" s="1" t="s">
        <v>96</v>
      </c>
      <c r="X13" s="1" t="s">
        <v>59</v>
      </c>
      <c r="Y13" s="1" t="s">
        <v>49</v>
      </c>
      <c r="Z13" s="1">
        <v>1000011</v>
      </c>
      <c r="AA13" s="1">
        <v>1000012</v>
      </c>
      <c r="AB13" s="1">
        <v>1000013</v>
      </c>
      <c r="AC13" s="1">
        <v>1000014</v>
      </c>
      <c r="AD13" s="1" t="s">
        <v>60</v>
      </c>
      <c r="AE13" s="1" t="s">
        <v>65</v>
      </c>
      <c r="AF13" t="s">
        <v>98</v>
      </c>
      <c r="AG13" s="2" t="s">
        <v>37</v>
      </c>
      <c r="AH13" s="2" t="s">
        <v>38</v>
      </c>
    </row>
    <row r="14" spans="1:34">
      <c r="A14" s="1"/>
      <c r="B14" t="b">
        <v>1</v>
      </c>
      <c r="C14" s="3">
        <v>10001103</v>
      </c>
      <c r="D14" s="1">
        <v>10003</v>
      </c>
      <c r="E14" s="1">
        <v>4</v>
      </c>
      <c r="F14" s="1" t="s">
        <v>89</v>
      </c>
      <c r="G14" s="1" t="s">
        <v>90</v>
      </c>
      <c r="H14" s="1" t="s">
        <v>50</v>
      </c>
      <c r="I14" s="1" t="s">
        <v>56</v>
      </c>
      <c r="J14" s="1" t="s">
        <v>47</v>
      </c>
      <c r="K14" s="1"/>
      <c r="L14" s="1" t="s">
        <v>36</v>
      </c>
      <c r="M14" s="1">
        <v>1700</v>
      </c>
      <c r="N14" s="1">
        <v>20580</v>
      </c>
      <c r="O14" s="1">
        <v>120</v>
      </c>
      <c r="P14" s="1">
        <v>4175</v>
      </c>
      <c r="Q14" s="1">
        <v>30</v>
      </c>
      <c r="R14" s="1">
        <v>2520</v>
      </c>
      <c r="S14" s="1">
        <v>100</v>
      </c>
      <c r="T14" s="1">
        <v>2</v>
      </c>
      <c r="U14" s="1">
        <v>5</v>
      </c>
      <c r="V14" s="1"/>
      <c r="W14" s="1" t="s">
        <v>95</v>
      </c>
      <c r="X14" s="1" t="s">
        <v>59</v>
      </c>
      <c r="Y14" s="1" t="s">
        <v>49</v>
      </c>
      <c r="Z14" s="1">
        <v>1000011</v>
      </c>
      <c r="AA14" s="1">
        <v>1000012</v>
      </c>
      <c r="AB14" s="1">
        <v>1000013</v>
      </c>
      <c r="AC14" s="1">
        <v>1000014</v>
      </c>
      <c r="AD14" s="1" t="s">
        <v>60</v>
      </c>
      <c r="AE14" s="1" t="s">
        <v>65</v>
      </c>
      <c r="AF14" t="s">
        <v>98</v>
      </c>
      <c r="AG14" s="2" t="s">
        <v>37</v>
      </c>
      <c r="AH14" s="2" t="s">
        <v>38</v>
      </c>
    </row>
    <row r="15" spans="1:34">
      <c r="A15" s="1" t="s">
        <v>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G15" s="1"/>
      <c r="AH15" s="1"/>
    </row>
    <row r="16" spans="1:34">
      <c r="O16" s="1"/>
      <c r="W16" s="1"/>
      <c r="X16" s="1"/>
    </row>
    <row r="18" spans="13:13">
      <c r="M18" s="1"/>
    </row>
  </sheetData>
  <autoFilter ref="A10:AH16" xr:uid="{00000000-0001-0000-0000-000000000000}"/>
  <phoneticPr fontId="2"/>
  <dataValidations count="1">
    <dataValidation type="list" allowBlank="1" showInputMessage="1" showErrorMessage="1" sqref="Z11:Z14" xr:uid="{9D715583-0EC0-42AD-88FA-29B6B73BBA60}">
      <formula1>OFFSET(#REF!,,,COUNTA(#REF!))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伊藤伸哉</dc:creator>
  <cp:lastModifiedBy>堀田 雄大</cp:lastModifiedBy>
  <dcterms:created xsi:type="dcterms:W3CDTF">2015-06-05T18:19:34Z</dcterms:created>
  <dcterms:modified xsi:type="dcterms:W3CDTF">2025-06-27T07:18:06Z</dcterms:modified>
</cp:coreProperties>
</file>