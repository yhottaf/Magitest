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rcu\OneDrive\デスクトップ\"/>
    </mc:Choice>
  </mc:AlternateContent>
  <xr:revisionPtr revIDLastSave="0" documentId="13_ncr:1_{E8811DC1-4B7A-48EA-A55F-8232AC4965B7}" xr6:coauthVersionLast="47" xr6:coauthVersionMax="47" xr10:uidLastSave="{00000000-0000-0000-0000-000000000000}"/>
  <bookViews>
    <workbookView xWindow="5850" yWindow="1875" windowWidth="21600" windowHeight="14490" xr2:uid="{8D00860E-D3DA-4A0E-B757-D2C53A6E556C}"/>
  </bookViews>
  <sheets>
    <sheet name="dataLis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0" i="2" l="1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9" i="2"/>
  <c r="K9" i="2"/>
  <c r="E108" i="2" a="1"/>
  <c r="E108" i="2" s="1"/>
  <c r="D108" i="2" a="1"/>
  <c r="D108" i="2" s="1"/>
  <c r="K108" i="2" s="1"/>
  <c r="C108" i="2" a="1"/>
  <c r="C108" i="2" s="1"/>
  <c r="J108" i="2" s="1"/>
  <c r="E107" i="2" a="1"/>
  <c r="E107" i="2" s="1"/>
  <c r="D107" i="2" a="1"/>
  <c r="D107" i="2" s="1"/>
  <c r="K107" i="2" s="1"/>
  <c r="C107" i="2" a="1"/>
  <c r="C107" i="2" s="1"/>
  <c r="J107" i="2" s="1"/>
  <c r="E106" i="2" a="1"/>
  <c r="E106" i="2" s="1"/>
  <c r="D106" i="2" a="1"/>
  <c r="D106" i="2" s="1"/>
  <c r="K106" i="2" s="1"/>
  <c r="C106" i="2" a="1"/>
  <c r="C106" i="2" s="1"/>
  <c r="J106" i="2" s="1"/>
  <c r="E105" i="2" a="1"/>
  <c r="E105" i="2" s="1"/>
  <c r="D105" i="2" a="1"/>
  <c r="D105" i="2" s="1"/>
  <c r="K105" i="2" s="1"/>
  <c r="C105" i="2" a="1"/>
  <c r="C105" i="2" s="1"/>
  <c r="J105" i="2" s="1"/>
  <c r="E104" i="2" a="1"/>
  <c r="E104" i="2" s="1"/>
  <c r="D104" i="2" a="1"/>
  <c r="D104" i="2" s="1"/>
  <c r="K104" i="2" s="1"/>
  <c r="C104" i="2" a="1"/>
  <c r="C104" i="2" s="1"/>
  <c r="J104" i="2" s="1"/>
  <c r="E103" i="2" a="1"/>
  <c r="E103" i="2" s="1"/>
  <c r="D103" i="2" a="1"/>
  <c r="D103" i="2" s="1"/>
  <c r="K103" i="2" s="1"/>
  <c r="C103" i="2" a="1"/>
  <c r="C103" i="2" s="1"/>
  <c r="J103" i="2" s="1"/>
  <c r="E102" i="2" a="1"/>
  <c r="E102" i="2" s="1"/>
  <c r="D102" i="2" a="1"/>
  <c r="D102" i="2" s="1"/>
  <c r="K102" i="2" s="1"/>
  <c r="C102" i="2" a="1"/>
  <c r="C102" i="2" s="1"/>
  <c r="J102" i="2" s="1"/>
  <c r="E101" i="2" a="1"/>
  <c r="E101" i="2" s="1"/>
  <c r="D101" i="2" a="1"/>
  <c r="D101" i="2" s="1"/>
  <c r="K101" i="2" s="1"/>
  <c r="C101" i="2" a="1"/>
  <c r="C101" i="2" s="1"/>
  <c r="J101" i="2" s="1"/>
  <c r="E100" i="2" a="1"/>
  <c r="E100" i="2" s="1"/>
  <c r="D100" i="2" a="1"/>
  <c r="D100" i="2" s="1"/>
  <c r="K100" i="2" s="1"/>
  <c r="C100" i="2" a="1"/>
  <c r="C100" i="2" s="1"/>
  <c r="J100" i="2" s="1"/>
  <c r="E99" i="2" a="1"/>
  <c r="E99" i="2" s="1"/>
  <c r="D99" i="2" a="1"/>
  <c r="D99" i="2" s="1"/>
  <c r="K99" i="2" s="1"/>
  <c r="C99" i="2" a="1"/>
  <c r="C99" i="2" s="1"/>
  <c r="J99" i="2" s="1"/>
  <c r="E98" i="2" a="1"/>
  <c r="E98" i="2" s="1"/>
  <c r="D98" i="2" a="1"/>
  <c r="D98" i="2" s="1"/>
  <c r="K98" i="2" s="1"/>
  <c r="C98" i="2" a="1"/>
  <c r="C98" i="2" s="1"/>
  <c r="J98" i="2" s="1"/>
  <c r="E97" i="2" a="1"/>
  <c r="E97" i="2" s="1"/>
  <c r="D97" i="2" a="1"/>
  <c r="D97" i="2" s="1"/>
  <c r="K97" i="2" s="1"/>
  <c r="C97" i="2" a="1"/>
  <c r="C97" i="2" s="1"/>
  <c r="J97" i="2" s="1"/>
  <c r="E96" i="2" a="1"/>
  <c r="E96" i="2" s="1"/>
  <c r="D96" i="2" a="1"/>
  <c r="D96" i="2" s="1"/>
  <c r="K96" i="2" s="1"/>
  <c r="C96" i="2" a="1"/>
  <c r="C96" i="2" s="1"/>
  <c r="J96" i="2" s="1"/>
  <c r="E95" i="2" a="1"/>
  <c r="E95" i="2" s="1"/>
  <c r="D95" i="2" a="1"/>
  <c r="D95" i="2" s="1"/>
  <c r="K95" i="2" s="1"/>
  <c r="C95" i="2" a="1"/>
  <c r="C95" i="2" s="1"/>
  <c r="J95" i="2" s="1"/>
  <c r="E94" i="2" a="1"/>
  <c r="E94" i="2" s="1"/>
  <c r="D94" i="2" a="1"/>
  <c r="D94" i="2" s="1"/>
  <c r="K94" i="2" s="1"/>
  <c r="C94" i="2" a="1"/>
  <c r="C94" i="2" s="1"/>
  <c r="J94" i="2" s="1"/>
  <c r="E93" i="2" a="1"/>
  <c r="E93" i="2" s="1"/>
  <c r="D93" i="2" a="1"/>
  <c r="D93" i="2" s="1"/>
  <c r="K93" i="2" s="1"/>
  <c r="C93" i="2" a="1"/>
  <c r="C93" i="2" s="1"/>
  <c r="J93" i="2" s="1"/>
  <c r="E92" i="2" a="1"/>
  <c r="E92" i="2" s="1"/>
  <c r="D92" i="2" a="1"/>
  <c r="D92" i="2" s="1"/>
  <c r="K92" i="2" s="1"/>
  <c r="C92" i="2" a="1"/>
  <c r="C92" i="2" s="1"/>
  <c r="J92" i="2" s="1"/>
  <c r="E91" i="2" a="1"/>
  <c r="E91" i="2" s="1"/>
  <c r="D91" i="2" a="1"/>
  <c r="D91" i="2" s="1"/>
  <c r="K91" i="2" s="1"/>
  <c r="C91" i="2" a="1"/>
  <c r="C91" i="2" s="1"/>
  <c r="J91" i="2" s="1"/>
  <c r="E90" i="2" a="1"/>
  <c r="E90" i="2" s="1"/>
  <c r="D90" i="2" a="1"/>
  <c r="D90" i="2" s="1"/>
  <c r="K90" i="2" s="1"/>
  <c r="C90" i="2" a="1"/>
  <c r="C90" i="2" s="1"/>
  <c r="J90" i="2" s="1"/>
  <c r="E89" i="2" a="1"/>
  <c r="E89" i="2" s="1"/>
  <c r="D89" i="2" a="1"/>
  <c r="D89" i="2" s="1"/>
  <c r="K89" i="2" s="1"/>
  <c r="C89" i="2" a="1"/>
  <c r="C89" i="2" s="1"/>
  <c r="J89" i="2" s="1"/>
  <c r="E88" i="2" a="1"/>
  <c r="E88" i="2" s="1"/>
  <c r="D88" i="2" a="1"/>
  <c r="D88" i="2" s="1"/>
  <c r="K88" i="2" s="1"/>
  <c r="C88" i="2" a="1"/>
  <c r="C88" i="2" s="1"/>
  <c r="J88" i="2" s="1"/>
  <c r="E87" i="2" a="1"/>
  <c r="E87" i="2" s="1"/>
  <c r="D87" i="2" a="1"/>
  <c r="D87" i="2" s="1"/>
  <c r="K87" i="2" s="1"/>
  <c r="C87" i="2" a="1"/>
  <c r="C87" i="2" s="1"/>
  <c r="J87" i="2" s="1"/>
  <c r="E86" i="2" a="1"/>
  <c r="E86" i="2" s="1"/>
  <c r="D86" i="2" a="1"/>
  <c r="D86" i="2" s="1"/>
  <c r="K86" i="2" s="1"/>
  <c r="C86" i="2" a="1"/>
  <c r="C86" i="2" s="1"/>
  <c r="J86" i="2" s="1"/>
  <c r="E85" i="2" a="1"/>
  <c r="E85" i="2" s="1"/>
  <c r="D85" i="2" a="1"/>
  <c r="D85" i="2" s="1"/>
  <c r="K85" i="2" s="1"/>
  <c r="C85" i="2" a="1"/>
  <c r="C85" i="2" s="1"/>
  <c r="J85" i="2" s="1"/>
  <c r="E84" i="2" a="1"/>
  <c r="E84" i="2" s="1"/>
  <c r="D84" i="2" a="1"/>
  <c r="D84" i="2" s="1"/>
  <c r="K84" i="2" s="1"/>
  <c r="C84" i="2" a="1"/>
  <c r="C84" i="2" s="1"/>
  <c r="J84" i="2" s="1"/>
  <c r="E83" i="2" a="1"/>
  <c r="E83" i="2" s="1"/>
  <c r="D83" i="2" a="1"/>
  <c r="D83" i="2" s="1"/>
  <c r="K83" i="2" s="1"/>
  <c r="C83" i="2" a="1"/>
  <c r="C83" i="2" s="1"/>
  <c r="J83" i="2" s="1"/>
  <c r="E82" i="2" a="1"/>
  <c r="E82" i="2" s="1"/>
  <c r="D82" i="2" a="1"/>
  <c r="D82" i="2" s="1"/>
  <c r="K82" i="2" s="1"/>
  <c r="C82" i="2" a="1"/>
  <c r="C82" i="2" s="1"/>
  <c r="J82" i="2" s="1"/>
  <c r="E81" i="2" a="1"/>
  <c r="E81" i="2" s="1"/>
  <c r="D81" i="2" a="1"/>
  <c r="D81" i="2" s="1"/>
  <c r="K81" i="2" s="1"/>
  <c r="C81" i="2" a="1"/>
  <c r="C81" i="2" s="1"/>
  <c r="J81" i="2" s="1"/>
  <c r="E80" i="2" a="1"/>
  <c r="E80" i="2" s="1"/>
  <c r="D80" i="2" a="1"/>
  <c r="D80" i="2" s="1"/>
  <c r="K80" i="2" s="1"/>
  <c r="C80" i="2" a="1"/>
  <c r="C80" i="2" s="1"/>
  <c r="J80" i="2" s="1"/>
  <c r="E79" i="2" a="1"/>
  <c r="E79" i="2" s="1"/>
  <c r="D79" i="2" a="1"/>
  <c r="D79" i="2" s="1"/>
  <c r="K79" i="2" s="1"/>
  <c r="C79" i="2" a="1"/>
  <c r="C79" i="2" s="1"/>
  <c r="J79" i="2" s="1"/>
  <c r="E78" i="2" a="1"/>
  <c r="E78" i="2" s="1"/>
  <c r="D78" i="2" a="1"/>
  <c r="D78" i="2" s="1"/>
  <c r="K78" i="2" s="1"/>
  <c r="C78" i="2" a="1"/>
  <c r="C78" i="2" s="1"/>
  <c r="J78" i="2" s="1"/>
  <c r="E77" i="2" a="1"/>
  <c r="E77" i="2" s="1"/>
  <c r="D77" i="2" a="1"/>
  <c r="D77" i="2" s="1"/>
  <c r="K77" i="2" s="1"/>
  <c r="C77" i="2" a="1"/>
  <c r="C77" i="2" s="1"/>
  <c r="J77" i="2" s="1"/>
  <c r="E76" i="2" a="1"/>
  <c r="E76" i="2" s="1"/>
  <c r="D76" i="2" a="1"/>
  <c r="D76" i="2" s="1"/>
  <c r="K76" i="2" s="1"/>
  <c r="C76" i="2" a="1"/>
  <c r="C76" i="2" s="1"/>
  <c r="J76" i="2" s="1"/>
  <c r="E75" i="2" a="1"/>
  <c r="E75" i="2" s="1"/>
  <c r="D75" i="2" a="1"/>
  <c r="D75" i="2" s="1"/>
  <c r="K75" i="2" s="1"/>
  <c r="C75" i="2" a="1"/>
  <c r="C75" i="2" s="1"/>
  <c r="J75" i="2" s="1"/>
  <c r="E74" i="2" a="1"/>
  <c r="E74" i="2" s="1"/>
  <c r="D74" i="2" a="1"/>
  <c r="D74" i="2" s="1"/>
  <c r="K74" i="2" s="1"/>
  <c r="C74" i="2" a="1"/>
  <c r="C74" i="2" s="1"/>
  <c r="J74" i="2" s="1"/>
  <c r="E73" i="2" a="1"/>
  <c r="E73" i="2" s="1"/>
  <c r="D73" i="2" a="1"/>
  <c r="D73" i="2" s="1"/>
  <c r="K73" i="2" s="1"/>
  <c r="C73" i="2" a="1"/>
  <c r="C73" i="2" s="1"/>
  <c r="J73" i="2" s="1"/>
  <c r="E72" i="2" a="1"/>
  <c r="E72" i="2" s="1"/>
  <c r="D72" i="2" a="1"/>
  <c r="D72" i="2" s="1"/>
  <c r="K72" i="2" s="1"/>
  <c r="C72" i="2" a="1"/>
  <c r="C72" i="2" s="1"/>
  <c r="J72" i="2" s="1"/>
  <c r="E71" i="2" a="1"/>
  <c r="E71" i="2" s="1"/>
  <c r="D71" i="2" a="1"/>
  <c r="D71" i="2" s="1"/>
  <c r="K71" i="2" s="1"/>
  <c r="C71" i="2" a="1"/>
  <c r="C71" i="2" s="1"/>
  <c r="J71" i="2" s="1"/>
  <c r="E70" i="2" a="1"/>
  <c r="E70" i="2" s="1"/>
  <c r="D70" i="2" a="1"/>
  <c r="D70" i="2" s="1"/>
  <c r="K70" i="2" s="1"/>
  <c r="C70" i="2" a="1"/>
  <c r="C70" i="2" s="1"/>
  <c r="J70" i="2" s="1"/>
  <c r="E69" i="2" a="1"/>
  <c r="E69" i="2" s="1"/>
  <c r="D69" i="2" a="1"/>
  <c r="D69" i="2" s="1"/>
  <c r="K69" i="2" s="1"/>
  <c r="C69" i="2" a="1"/>
  <c r="C69" i="2" s="1"/>
  <c r="J69" i="2" s="1"/>
  <c r="E68" i="2" a="1"/>
  <c r="E68" i="2" s="1"/>
  <c r="D68" i="2" a="1"/>
  <c r="D68" i="2" s="1"/>
  <c r="K68" i="2" s="1"/>
  <c r="C68" i="2" a="1"/>
  <c r="C68" i="2" s="1"/>
  <c r="J68" i="2" s="1"/>
  <c r="E67" i="2" a="1"/>
  <c r="E67" i="2" s="1"/>
  <c r="D67" i="2" a="1"/>
  <c r="D67" i="2" s="1"/>
  <c r="K67" i="2" s="1"/>
  <c r="C67" i="2" a="1"/>
  <c r="C67" i="2" s="1"/>
  <c r="J67" i="2" s="1"/>
  <c r="E66" i="2" a="1"/>
  <c r="E66" i="2" s="1"/>
  <c r="D66" i="2" a="1"/>
  <c r="D66" i="2" s="1"/>
  <c r="K66" i="2" s="1"/>
  <c r="C66" i="2" a="1"/>
  <c r="C66" i="2" s="1"/>
  <c r="J66" i="2" s="1"/>
  <c r="E65" i="2" a="1"/>
  <c r="E65" i="2" s="1"/>
  <c r="D65" i="2" a="1"/>
  <c r="D65" i="2" s="1"/>
  <c r="K65" i="2" s="1"/>
  <c r="C65" i="2" a="1"/>
  <c r="C65" i="2" s="1"/>
  <c r="J65" i="2" s="1"/>
  <c r="E64" i="2" a="1"/>
  <c r="E64" i="2" s="1"/>
  <c r="D64" i="2" a="1"/>
  <c r="D64" i="2" s="1"/>
  <c r="K64" i="2" s="1"/>
  <c r="C64" i="2" a="1"/>
  <c r="C64" i="2" s="1"/>
  <c r="J64" i="2" s="1"/>
  <c r="E63" i="2" a="1"/>
  <c r="E63" i="2" s="1"/>
  <c r="D63" i="2" a="1"/>
  <c r="D63" i="2" s="1"/>
  <c r="K63" i="2" s="1"/>
  <c r="C63" i="2" a="1"/>
  <c r="C63" i="2" s="1"/>
  <c r="J63" i="2" s="1"/>
  <c r="E62" i="2" a="1"/>
  <c r="E62" i="2" s="1"/>
  <c r="D62" i="2" a="1"/>
  <c r="D62" i="2" s="1"/>
  <c r="K62" i="2" s="1"/>
  <c r="C62" i="2" a="1"/>
  <c r="C62" i="2" s="1"/>
  <c r="J62" i="2" s="1"/>
  <c r="E61" i="2" a="1"/>
  <c r="E61" i="2" s="1"/>
  <c r="D61" i="2" a="1"/>
  <c r="D61" i="2" s="1"/>
  <c r="K61" i="2" s="1"/>
  <c r="C61" i="2" a="1"/>
  <c r="C61" i="2" s="1"/>
  <c r="J61" i="2" s="1"/>
  <c r="E60" i="2" a="1"/>
  <c r="E60" i="2" s="1"/>
  <c r="D60" i="2" a="1"/>
  <c r="D60" i="2" s="1"/>
  <c r="K60" i="2" s="1"/>
  <c r="C60" i="2" a="1"/>
  <c r="C60" i="2" s="1"/>
  <c r="J60" i="2" s="1"/>
  <c r="E59" i="2" a="1"/>
  <c r="E59" i="2" s="1"/>
  <c r="D59" i="2" a="1"/>
  <c r="D59" i="2" s="1"/>
  <c r="K59" i="2" s="1"/>
  <c r="C59" i="2" a="1"/>
  <c r="C59" i="2" s="1"/>
  <c r="J59" i="2" s="1"/>
  <c r="E58" i="2" a="1"/>
  <c r="E58" i="2" s="1"/>
  <c r="D58" i="2" a="1"/>
  <c r="D58" i="2" s="1"/>
  <c r="K58" i="2" s="1"/>
  <c r="C58" i="2" a="1"/>
  <c r="C58" i="2" s="1"/>
  <c r="J58" i="2" s="1"/>
  <c r="E57" i="2" a="1"/>
  <c r="E57" i="2" s="1"/>
  <c r="D57" i="2" a="1"/>
  <c r="D57" i="2" s="1"/>
  <c r="K57" i="2" s="1"/>
  <c r="C57" i="2" a="1"/>
  <c r="C57" i="2" s="1"/>
  <c r="J57" i="2" s="1"/>
  <c r="E56" i="2" a="1"/>
  <c r="E56" i="2" s="1"/>
  <c r="D56" i="2" a="1"/>
  <c r="D56" i="2" s="1"/>
  <c r="K56" i="2" s="1"/>
  <c r="C56" i="2" a="1"/>
  <c r="C56" i="2" s="1"/>
  <c r="J56" i="2" s="1"/>
  <c r="E55" i="2" a="1"/>
  <c r="E55" i="2" s="1"/>
  <c r="D55" i="2" a="1"/>
  <c r="D55" i="2" s="1"/>
  <c r="K55" i="2" s="1"/>
  <c r="C55" i="2" a="1"/>
  <c r="C55" i="2" s="1"/>
  <c r="J55" i="2" s="1"/>
  <c r="E54" i="2" a="1"/>
  <c r="E54" i="2" s="1"/>
  <c r="D54" i="2" a="1"/>
  <c r="D54" i="2" s="1"/>
  <c r="K54" i="2" s="1"/>
  <c r="C54" i="2" a="1"/>
  <c r="C54" i="2" s="1"/>
  <c r="J54" i="2" s="1"/>
  <c r="E53" i="2" a="1"/>
  <c r="E53" i="2" s="1"/>
  <c r="D53" i="2" a="1"/>
  <c r="D53" i="2" s="1"/>
  <c r="K53" i="2" s="1"/>
  <c r="C53" i="2" a="1"/>
  <c r="C53" i="2" s="1"/>
  <c r="J53" i="2" s="1"/>
  <c r="E52" i="2" a="1"/>
  <c r="E52" i="2" s="1"/>
  <c r="D52" i="2" a="1"/>
  <c r="D52" i="2" s="1"/>
  <c r="K52" i="2" s="1"/>
  <c r="C52" i="2" a="1"/>
  <c r="C52" i="2" s="1"/>
  <c r="J52" i="2" s="1"/>
  <c r="E51" i="2" a="1"/>
  <c r="E51" i="2" s="1"/>
  <c r="D51" i="2" a="1"/>
  <c r="D51" i="2" s="1"/>
  <c r="K51" i="2" s="1"/>
  <c r="C51" i="2" a="1"/>
  <c r="C51" i="2" s="1"/>
  <c r="J51" i="2" s="1"/>
  <c r="E50" i="2" a="1"/>
  <c r="E50" i="2" s="1"/>
  <c r="D50" i="2" a="1"/>
  <c r="D50" i="2" s="1"/>
  <c r="K50" i="2" s="1"/>
  <c r="C50" i="2" a="1"/>
  <c r="C50" i="2" s="1"/>
  <c r="J50" i="2" s="1"/>
  <c r="E49" i="2" a="1"/>
  <c r="E49" i="2" s="1"/>
  <c r="D49" i="2" a="1"/>
  <c r="D49" i="2" s="1"/>
  <c r="K49" i="2" s="1"/>
  <c r="C49" i="2" a="1"/>
  <c r="C49" i="2" s="1"/>
  <c r="J49" i="2" s="1"/>
  <c r="E48" i="2" a="1"/>
  <c r="E48" i="2" s="1"/>
  <c r="D48" i="2" a="1"/>
  <c r="D48" i="2" s="1"/>
  <c r="K48" i="2" s="1"/>
  <c r="C48" i="2" a="1"/>
  <c r="C48" i="2" s="1"/>
  <c r="J48" i="2" s="1"/>
  <c r="E47" i="2" a="1"/>
  <c r="E47" i="2" s="1"/>
  <c r="D47" i="2" a="1"/>
  <c r="D47" i="2" s="1"/>
  <c r="K47" i="2" s="1"/>
  <c r="C47" i="2" a="1"/>
  <c r="C47" i="2" s="1"/>
  <c r="J47" i="2" s="1"/>
  <c r="E46" i="2" a="1"/>
  <c r="E46" i="2" s="1"/>
  <c r="D46" i="2" a="1"/>
  <c r="D46" i="2" s="1"/>
  <c r="K46" i="2" s="1"/>
  <c r="C46" i="2" a="1"/>
  <c r="C46" i="2" s="1"/>
  <c r="J46" i="2" s="1"/>
  <c r="E45" i="2" a="1"/>
  <c r="E45" i="2" s="1"/>
  <c r="D45" i="2" a="1"/>
  <c r="D45" i="2" s="1"/>
  <c r="K45" i="2" s="1"/>
  <c r="C45" i="2" a="1"/>
  <c r="C45" i="2" s="1"/>
  <c r="J45" i="2" s="1"/>
  <c r="E44" i="2" a="1"/>
  <c r="E44" i="2" s="1"/>
  <c r="D44" i="2" a="1"/>
  <c r="D44" i="2" s="1"/>
  <c r="K44" i="2" s="1"/>
  <c r="C44" i="2" a="1"/>
  <c r="C44" i="2" s="1"/>
  <c r="J44" i="2" s="1"/>
  <c r="E43" i="2" a="1"/>
  <c r="E43" i="2" s="1"/>
  <c r="D43" i="2" a="1"/>
  <c r="D43" i="2" s="1"/>
  <c r="K43" i="2" s="1"/>
  <c r="C43" i="2" a="1"/>
  <c r="C43" i="2" s="1"/>
  <c r="J43" i="2" s="1"/>
  <c r="E42" i="2" a="1"/>
  <c r="E42" i="2" s="1"/>
  <c r="D42" i="2" a="1"/>
  <c r="D42" i="2" s="1"/>
  <c r="K42" i="2" s="1"/>
  <c r="C42" i="2" a="1"/>
  <c r="C42" i="2" s="1"/>
  <c r="J42" i="2" s="1"/>
  <c r="E41" i="2" a="1"/>
  <c r="E41" i="2" s="1"/>
  <c r="D41" i="2" a="1"/>
  <c r="D41" i="2" s="1"/>
  <c r="K41" i="2" s="1"/>
  <c r="C41" i="2" a="1"/>
  <c r="C41" i="2" s="1"/>
  <c r="J41" i="2" s="1"/>
  <c r="E40" i="2" a="1"/>
  <c r="E40" i="2" s="1"/>
  <c r="D40" i="2" a="1"/>
  <c r="D40" i="2" s="1"/>
  <c r="K40" i="2" s="1"/>
  <c r="C40" i="2" a="1"/>
  <c r="C40" i="2" s="1"/>
  <c r="J40" i="2" s="1"/>
  <c r="E39" i="2" a="1"/>
  <c r="E39" i="2" s="1"/>
  <c r="D39" i="2" a="1"/>
  <c r="D39" i="2" s="1"/>
  <c r="K39" i="2" s="1"/>
  <c r="C39" i="2" a="1"/>
  <c r="C39" i="2" s="1"/>
  <c r="J39" i="2" s="1"/>
  <c r="E38" i="2" a="1"/>
  <c r="E38" i="2" s="1"/>
  <c r="D38" i="2" a="1"/>
  <c r="D38" i="2" s="1"/>
  <c r="K38" i="2" s="1"/>
  <c r="C38" i="2" a="1"/>
  <c r="C38" i="2" s="1"/>
  <c r="J38" i="2" s="1"/>
  <c r="E37" i="2" a="1"/>
  <c r="E37" i="2" s="1"/>
  <c r="D37" i="2" a="1"/>
  <c r="D37" i="2" s="1"/>
  <c r="K37" i="2" s="1"/>
  <c r="C37" i="2" a="1"/>
  <c r="C37" i="2" s="1"/>
  <c r="J37" i="2" s="1"/>
  <c r="E36" i="2" a="1"/>
  <c r="E36" i="2" s="1"/>
  <c r="D36" i="2" a="1"/>
  <c r="D36" i="2" s="1"/>
  <c r="K36" i="2" s="1"/>
  <c r="C36" i="2" a="1"/>
  <c r="C36" i="2" s="1"/>
  <c r="J36" i="2" s="1"/>
  <c r="E35" i="2" a="1"/>
  <c r="E35" i="2" s="1"/>
  <c r="D35" i="2" a="1"/>
  <c r="D35" i="2" s="1"/>
  <c r="K35" i="2" s="1"/>
  <c r="C35" i="2" a="1"/>
  <c r="C35" i="2" s="1"/>
  <c r="J35" i="2" s="1"/>
  <c r="E34" i="2" a="1"/>
  <c r="E34" i="2" s="1"/>
  <c r="D34" i="2" a="1"/>
  <c r="D34" i="2" s="1"/>
  <c r="K34" i="2" s="1"/>
  <c r="C34" i="2" a="1"/>
  <c r="C34" i="2" s="1"/>
  <c r="J34" i="2" s="1"/>
  <c r="E33" i="2" a="1"/>
  <c r="E33" i="2" s="1"/>
  <c r="D33" i="2" a="1"/>
  <c r="D33" i="2" s="1"/>
  <c r="K33" i="2" s="1"/>
  <c r="C33" i="2" a="1"/>
  <c r="C33" i="2" s="1"/>
  <c r="J33" i="2" s="1"/>
  <c r="E32" i="2" a="1"/>
  <c r="E32" i="2" s="1"/>
  <c r="D32" i="2" a="1"/>
  <c r="D32" i="2" s="1"/>
  <c r="K32" i="2" s="1"/>
  <c r="C32" i="2" a="1"/>
  <c r="C32" i="2" s="1"/>
  <c r="J32" i="2" s="1"/>
  <c r="E31" i="2" a="1"/>
  <c r="E31" i="2" s="1"/>
  <c r="D31" i="2" a="1"/>
  <c r="D31" i="2" s="1"/>
  <c r="K31" i="2" s="1"/>
  <c r="C31" i="2" a="1"/>
  <c r="C31" i="2" s="1"/>
  <c r="J31" i="2" s="1"/>
  <c r="E30" i="2" a="1"/>
  <c r="E30" i="2" s="1"/>
  <c r="D30" i="2" a="1"/>
  <c r="D30" i="2" s="1"/>
  <c r="K30" i="2" s="1"/>
  <c r="C30" i="2" a="1"/>
  <c r="C30" i="2" s="1"/>
  <c r="J30" i="2" s="1"/>
  <c r="E29" i="2" a="1"/>
  <c r="E29" i="2" s="1"/>
  <c r="D29" i="2" a="1"/>
  <c r="D29" i="2" s="1"/>
  <c r="K29" i="2" s="1"/>
  <c r="C29" i="2" a="1"/>
  <c r="C29" i="2" s="1"/>
  <c r="J29" i="2" s="1"/>
  <c r="E28" i="2" a="1"/>
  <c r="E28" i="2" s="1"/>
  <c r="D28" i="2" a="1"/>
  <c r="D28" i="2" s="1"/>
  <c r="K28" i="2" s="1"/>
  <c r="C28" i="2" a="1"/>
  <c r="C28" i="2" s="1"/>
  <c r="J28" i="2" s="1"/>
  <c r="E27" i="2" a="1"/>
  <c r="E27" i="2" s="1"/>
  <c r="D27" i="2" a="1"/>
  <c r="D27" i="2" s="1"/>
  <c r="K27" i="2" s="1"/>
  <c r="C27" i="2" a="1"/>
  <c r="C27" i="2" s="1"/>
  <c r="J27" i="2" s="1"/>
  <c r="E26" i="2" a="1"/>
  <c r="E26" i="2" s="1"/>
  <c r="D26" i="2" a="1"/>
  <c r="D26" i="2" s="1"/>
  <c r="K26" i="2" s="1"/>
  <c r="C26" i="2" a="1"/>
  <c r="C26" i="2" s="1"/>
  <c r="J26" i="2" s="1"/>
  <c r="E25" i="2" a="1"/>
  <c r="E25" i="2" s="1"/>
  <c r="D25" i="2" a="1"/>
  <c r="D25" i="2" s="1"/>
  <c r="K25" i="2" s="1"/>
  <c r="C25" i="2" a="1"/>
  <c r="C25" i="2" s="1"/>
  <c r="J25" i="2" s="1"/>
  <c r="E24" i="2" a="1"/>
  <c r="E24" i="2" s="1"/>
  <c r="D24" i="2" a="1"/>
  <c r="D24" i="2" s="1"/>
  <c r="K24" i="2" s="1"/>
  <c r="C24" i="2" a="1"/>
  <c r="C24" i="2" s="1"/>
  <c r="J24" i="2" s="1"/>
  <c r="E23" i="2" a="1"/>
  <c r="E23" i="2" s="1"/>
  <c r="D23" i="2" a="1"/>
  <c r="D23" i="2" s="1"/>
  <c r="K23" i="2" s="1"/>
  <c r="C23" i="2" a="1"/>
  <c r="C23" i="2" s="1"/>
  <c r="J23" i="2" s="1"/>
  <c r="E22" i="2" a="1"/>
  <c r="E22" i="2" s="1"/>
  <c r="D22" i="2" a="1"/>
  <c r="D22" i="2" s="1"/>
  <c r="K22" i="2" s="1"/>
  <c r="C22" i="2" a="1"/>
  <c r="C22" i="2" s="1"/>
  <c r="J22" i="2" s="1"/>
  <c r="E21" i="2" a="1"/>
  <c r="E21" i="2" s="1"/>
  <c r="D21" i="2" a="1"/>
  <c r="D21" i="2" s="1"/>
  <c r="K21" i="2" s="1"/>
  <c r="C21" i="2" a="1"/>
  <c r="C21" i="2" s="1"/>
  <c r="J21" i="2" s="1"/>
  <c r="E20" i="2" a="1"/>
  <c r="E20" i="2" s="1"/>
  <c r="D20" i="2" a="1"/>
  <c r="D20" i="2" s="1"/>
  <c r="K20" i="2" s="1"/>
  <c r="C20" i="2" a="1"/>
  <c r="C20" i="2" s="1"/>
  <c r="J20" i="2" s="1"/>
  <c r="E19" i="2" a="1"/>
  <c r="E19" i="2" s="1"/>
  <c r="D19" i="2" a="1"/>
  <c r="D19" i="2" s="1"/>
  <c r="K19" i="2" s="1"/>
  <c r="C19" i="2" a="1"/>
  <c r="C19" i="2" s="1"/>
  <c r="J19" i="2" s="1"/>
  <c r="E18" i="2" a="1"/>
  <c r="E18" i="2" s="1"/>
  <c r="D18" i="2" a="1"/>
  <c r="D18" i="2" s="1"/>
  <c r="K18" i="2" s="1"/>
  <c r="C18" i="2" a="1"/>
  <c r="C18" i="2" s="1"/>
  <c r="J18" i="2" s="1"/>
  <c r="E17" i="2" a="1"/>
  <c r="E17" i="2" s="1"/>
  <c r="D17" i="2" a="1"/>
  <c r="D17" i="2" s="1"/>
  <c r="K17" i="2" s="1"/>
  <c r="C17" i="2" a="1"/>
  <c r="C17" i="2" s="1"/>
  <c r="J17" i="2" s="1"/>
  <c r="E16" i="2" a="1"/>
  <c r="E16" i="2" s="1"/>
  <c r="D16" i="2" a="1"/>
  <c r="D16" i="2" s="1"/>
  <c r="K16" i="2" s="1"/>
  <c r="C16" i="2" a="1"/>
  <c r="C16" i="2" s="1"/>
  <c r="J16" i="2" s="1"/>
  <c r="E15" i="2" a="1"/>
  <c r="E15" i="2" s="1"/>
  <c r="D15" i="2" a="1"/>
  <c r="D15" i="2" s="1"/>
  <c r="K15" i="2" s="1"/>
  <c r="C15" i="2" a="1"/>
  <c r="C15" i="2" s="1"/>
  <c r="J15" i="2" s="1"/>
  <c r="E14" i="2" a="1"/>
  <c r="E14" i="2" s="1"/>
  <c r="D14" i="2" a="1"/>
  <c r="D14" i="2" s="1"/>
  <c r="K14" i="2" s="1"/>
  <c r="C14" i="2" a="1"/>
  <c r="C14" i="2" s="1"/>
  <c r="J14" i="2" s="1"/>
  <c r="E13" i="2" a="1"/>
  <c r="E13" i="2" s="1"/>
  <c r="D13" i="2" a="1"/>
  <c r="D13" i="2" s="1"/>
  <c r="K13" i="2" s="1"/>
  <c r="C13" i="2" a="1"/>
  <c r="C13" i="2" s="1"/>
  <c r="J13" i="2" s="1"/>
  <c r="E12" i="2" a="1"/>
  <c r="E12" i="2" s="1"/>
  <c r="D12" i="2" a="1"/>
  <c r="D12" i="2" s="1"/>
  <c r="K12" i="2" s="1"/>
  <c r="C12" i="2" a="1"/>
  <c r="C12" i="2" s="1"/>
  <c r="J12" i="2" s="1"/>
  <c r="E11" i="2" a="1"/>
  <c r="E11" i="2" s="1"/>
  <c r="D11" i="2" a="1"/>
  <c r="D11" i="2" s="1"/>
  <c r="K11" i="2" s="1"/>
  <c r="C11" i="2" a="1"/>
  <c r="C11" i="2" s="1"/>
  <c r="J11" i="2" s="1"/>
  <c r="E10" i="2" a="1"/>
  <c r="E10" i="2" s="1"/>
  <c r="D10" i="2" a="1"/>
  <c r="D10" i="2" s="1"/>
  <c r="K10" i="2" s="1"/>
  <c r="C10" i="2" a="1"/>
  <c r="C10" i="2" s="1"/>
  <c r="J10" i="2" s="1"/>
  <c r="E9" i="2" a="1"/>
  <c r="E9" i="2" s="1"/>
  <c r="D9" i="2" a="1"/>
  <c r="D9" i="2" s="1"/>
  <c r="C9" i="2" a="1"/>
  <c r="C9" i="2" s="1"/>
  <c r="J9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<sst xmlns="http://schemas.openxmlformats.org/spreadsheetml/2006/main" count="34" uniqueCount="25">
  <si>
    <t>#</t>
    <phoneticPr fontId="2"/>
  </si>
  <si>
    <t>経験値テーブル</t>
    <rPh sb="0" eb="3">
      <t>ケイケンチ</t>
    </rPh>
    <phoneticPr fontId="2"/>
  </si>
  <si>
    <t>レアリティ</t>
    <phoneticPr fontId="1"/>
  </si>
  <si>
    <t>初期値</t>
    <rPh sb="0" eb="3">
      <t>ショキチ</t>
    </rPh>
    <phoneticPr fontId="1"/>
  </si>
  <si>
    <t>一回目</t>
    <rPh sb="0" eb="3">
      <t>イッカイメ</t>
    </rPh>
    <phoneticPr fontId="1"/>
  </si>
  <si>
    <t>二回目</t>
    <rPh sb="0" eb="3">
      <t>ニカイメ</t>
    </rPh>
    <phoneticPr fontId="1"/>
  </si>
  <si>
    <t>三回目</t>
    <rPh sb="0" eb="1">
      <t>ミ</t>
    </rPh>
    <rPh sb="1" eb="3">
      <t>カイメ</t>
    </rPh>
    <phoneticPr fontId="1"/>
  </si>
  <si>
    <t>変化タイミング</t>
    <rPh sb="0" eb="2">
      <t>ヘンカ</t>
    </rPh>
    <phoneticPr fontId="1"/>
  </si>
  <si>
    <t>最高レベル</t>
    <rPh sb="0" eb="2">
      <t>サイコウ</t>
    </rPh>
    <phoneticPr fontId="2"/>
  </si>
  <si>
    <t>level</t>
    <phoneticPr fontId="2"/>
  </si>
  <si>
    <t>#end</t>
    <phoneticPr fontId="2"/>
  </si>
  <si>
    <t>成長型</t>
    <rPh sb="0" eb="2">
      <t>セイチョウ</t>
    </rPh>
    <rPh sb="2" eb="3">
      <t>ガタ</t>
    </rPh>
    <phoneticPr fontId="1"/>
  </si>
  <si>
    <t>到達成長率</t>
    <rPh sb="0" eb="2">
      <t>トウタツ</t>
    </rPh>
    <rPh sb="2" eb="5">
      <t>セイチョウリツ</t>
    </rPh>
    <phoneticPr fontId="1"/>
  </si>
  <si>
    <t>minHP</t>
    <phoneticPr fontId="1"/>
  </si>
  <si>
    <t>maxHP</t>
    <phoneticPr fontId="1"/>
  </si>
  <si>
    <t>minATK</t>
    <phoneticPr fontId="1"/>
  </si>
  <si>
    <t>maxATK</t>
    <phoneticPr fontId="1"/>
  </si>
  <si>
    <t>サンプルパラメータ</t>
    <phoneticPr fontId="1"/>
  </si>
  <si>
    <t>↓各レベルごとのパラメータエミュレータ</t>
    <rPh sb="1" eb="2">
      <t>カク</t>
    </rPh>
    <phoneticPr fontId="1"/>
  </si>
  <si>
    <t>HP</t>
    <phoneticPr fontId="2"/>
  </si>
  <si>
    <t>ATK</t>
    <phoneticPr fontId="2"/>
  </si>
  <si>
    <t>SPD</t>
    <phoneticPr fontId="2"/>
  </si>
  <si>
    <t>早熟</t>
    <rPh sb="0" eb="2">
      <t>ソウジュク</t>
    </rPh>
    <phoneticPr fontId="1"/>
  </si>
  <si>
    <t>minSPD</t>
    <phoneticPr fontId="1"/>
  </si>
  <si>
    <t>maxSPD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</si>
</sst>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i/>
      <sz val="11"/>
      <color theme="1"/>
      <name val="游ゴシック"/>
      <family val="2"/>
      <scheme val="minor"/>
    </font>
    <font>
      <sz val="11"/>
      <name val="游ゴシック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 applyAlignment="1"/>
    <xf numFmtId="0" fontId="0" fillId="2" borderId="1" xfId="0" applyFill="1" applyBorder="1" applyAlignment="1"/>
    <xf numFmtId="0" fontId="0" fillId="3" borderId="1" xfId="0" applyFill="1" applyBorder="1" applyAlignment="1"/>
    <xf numFmtId="0" fontId="0" fillId="4" borderId="1" xfId="0" applyFill="1" applyBorder="1" applyAlignment="1"/>
    <xf numFmtId="0" fontId="0" fillId="2" borderId="2" xfId="0" applyFill="1" applyBorder="1" applyAlignment="1"/>
    <xf numFmtId="0" fontId="3" fillId="0" borderId="1" xfId="0" applyFont="1" applyBorder="1" applyAlignment="1"/>
    <xf numFmtId="0" fontId="4" fillId="0" borderId="1" xfId="0" applyFont="1" applyBorder="1" applyAlignment="1"/>
    <xf numFmtId="9" fontId="0" fillId="3" borderId="1" xfId="0" applyNumberFormat="1" applyFill="1" applyBorder="1" applyAlignment="1"/>
    <xf numFmtId="0" fontId="0" fillId="4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0" borderId="0" xfId="0" applyBorder="1" applyAlignment="1"/>
    <xf numFmtId="0" fontId="0" fillId="5" borderId="4" xfId="0" applyFill="1" applyBorder="1">
      <alignment vertical="center"/>
    </xf>
    <xf numFmtId="0" fontId="0" fillId="5" borderId="6" xfId="0" applyFill="1" applyBorder="1">
      <alignment vertical="center"/>
    </xf>
    <xf numFmtId="0" fontId="0" fillId="5" borderId="4" xfId="0" applyFill="1" applyBorder="1" applyAlignment="1"/>
    <xf numFmtId="0" fontId="0" fillId="4" borderId="2" xfId="0" applyFill="1" applyBorder="1" applyAlignment="1"/>
    <xf numFmtId="0" fontId="0" fillId="5" borderId="6" xfId="0" applyFill="1" applyBorder="1" applyAlignment="1"/>
    <xf numFmtId="0" fontId="0" fillId="4" borderId="5" xfId="0" applyFill="1" applyBorder="1" applyAlignment="1"/>
    <xf numFmtId="0" fontId="0" fillId="0" borderId="3" xfId="0" applyBorder="1" applyAlignment="1"/>
    <xf numFmtId="0" fontId="0" fillId="0" borderId="2" xfId="0" applyBorder="1" applyAlignment="1"/>
    <xf numFmtId="0" fontId="0" fillId="0" borderId="6" xfId="0" applyBorder="1" applyAlignment="1"/>
    <xf numFmtId="0" fontId="0" fillId="0" borderId="5" xfId="0" applyBorder="1" applyAlignment="1"/>
    <xf numFmtId="0" fontId="0" fillId="3" borderId="3" xfId="0" applyFill="1" applyBorder="1" applyAlignment="1"/>
  </cellXfs>
  <cellStyles count="1">
    <cellStyle name="標準" xfId="0" builtinId="0"/>
  </cellStyles>
  <dxfs count="1">
    <dxf>
      <font>
        <color theme="0"/>
      </font>
      <fill>
        <patternFill>
          <bgColor theme="1" tint="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成長曲線グラフくん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dataList!$C$10:$C$108</c:f>
              <c:numCache>
                <c:formatCode>General</c:formatCode>
                <c:ptCount val="99"/>
                <c:pt idx="0">
                  <c:v>2.11</c:v>
                </c:pt>
                <c:pt idx="1">
                  <c:v>4.21</c:v>
                </c:pt>
                <c:pt idx="2">
                  <c:v>6.32</c:v>
                </c:pt>
                <c:pt idx="3">
                  <c:v>8.42</c:v>
                </c:pt>
                <c:pt idx="4">
                  <c:v>10.53</c:v>
                </c:pt>
                <c:pt idx="5">
                  <c:v>12.63</c:v>
                </c:pt>
                <c:pt idx="6">
                  <c:v>14.74</c:v>
                </c:pt>
                <c:pt idx="7">
                  <c:v>16.84</c:v>
                </c:pt>
                <c:pt idx="8">
                  <c:v>18.95</c:v>
                </c:pt>
                <c:pt idx="9">
                  <c:v>21.05</c:v>
                </c:pt>
                <c:pt idx="10">
                  <c:v>23.16</c:v>
                </c:pt>
                <c:pt idx="11">
                  <c:v>25.26</c:v>
                </c:pt>
                <c:pt idx="12">
                  <c:v>27.37</c:v>
                </c:pt>
                <c:pt idx="13">
                  <c:v>29.47</c:v>
                </c:pt>
                <c:pt idx="14">
                  <c:v>31.58</c:v>
                </c:pt>
                <c:pt idx="15">
                  <c:v>33.68</c:v>
                </c:pt>
                <c:pt idx="16">
                  <c:v>35.79</c:v>
                </c:pt>
                <c:pt idx="17">
                  <c:v>37.89</c:v>
                </c:pt>
                <c:pt idx="18">
                  <c:v>40</c:v>
                </c:pt>
                <c:pt idx="19">
                  <c:v>41</c:v>
                </c:pt>
                <c:pt idx="20">
                  <c:v>42</c:v>
                </c:pt>
                <c:pt idx="21">
                  <c:v>43</c:v>
                </c:pt>
                <c:pt idx="22">
                  <c:v>44</c:v>
                </c:pt>
                <c:pt idx="23">
                  <c:v>45</c:v>
                </c:pt>
                <c:pt idx="24">
                  <c:v>46</c:v>
                </c:pt>
                <c:pt idx="25">
                  <c:v>47</c:v>
                </c:pt>
                <c:pt idx="26">
                  <c:v>48</c:v>
                </c:pt>
                <c:pt idx="27">
                  <c:v>49</c:v>
                </c:pt>
                <c:pt idx="28">
                  <c:v>50</c:v>
                </c:pt>
                <c:pt idx="29">
                  <c:v>51</c:v>
                </c:pt>
                <c:pt idx="30">
                  <c:v>52</c:v>
                </c:pt>
                <c:pt idx="31">
                  <c:v>53</c:v>
                </c:pt>
                <c:pt idx="32">
                  <c:v>54</c:v>
                </c:pt>
                <c:pt idx="33">
                  <c:v>55</c:v>
                </c:pt>
                <c:pt idx="34">
                  <c:v>56</c:v>
                </c:pt>
                <c:pt idx="35">
                  <c:v>57</c:v>
                </c:pt>
                <c:pt idx="36">
                  <c:v>58</c:v>
                </c:pt>
                <c:pt idx="37">
                  <c:v>59</c:v>
                </c:pt>
                <c:pt idx="38">
                  <c:v>60</c:v>
                </c:pt>
                <c:pt idx="39">
                  <c:v>61</c:v>
                </c:pt>
                <c:pt idx="40">
                  <c:v>62</c:v>
                </c:pt>
                <c:pt idx="41">
                  <c:v>63</c:v>
                </c:pt>
                <c:pt idx="42">
                  <c:v>64</c:v>
                </c:pt>
                <c:pt idx="43">
                  <c:v>65</c:v>
                </c:pt>
                <c:pt idx="44">
                  <c:v>66</c:v>
                </c:pt>
                <c:pt idx="45">
                  <c:v>67</c:v>
                </c:pt>
                <c:pt idx="46">
                  <c:v>68</c:v>
                </c:pt>
                <c:pt idx="47">
                  <c:v>69</c:v>
                </c:pt>
                <c:pt idx="48">
                  <c:v>70</c:v>
                </c:pt>
                <c:pt idx="49">
                  <c:v>70.599999999999994</c:v>
                </c:pt>
                <c:pt idx="50">
                  <c:v>71.2</c:v>
                </c:pt>
                <c:pt idx="51">
                  <c:v>71.8</c:v>
                </c:pt>
                <c:pt idx="52">
                  <c:v>72.400000000000006</c:v>
                </c:pt>
                <c:pt idx="53">
                  <c:v>73</c:v>
                </c:pt>
                <c:pt idx="54">
                  <c:v>73.599999999999994</c:v>
                </c:pt>
                <c:pt idx="55">
                  <c:v>74.2</c:v>
                </c:pt>
                <c:pt idx="56">
                  <c:v>74.8</c:v>
                </c:pt>
                <c:pt idx="57">
                  <c:v>75.400000000000006</c:v>
                </c:pt>
                <c:pt idx="58">
                  <c:v>76</c:v>
                </c:pt>
                <c:pt idx="59">
                  <c:v>76.599999999999994</c:v>
                </c:pt>
                <c:pt idx="60">
                  <c:v>77.2</c:v>
                </c:pt>
                <c:pt idx="61">
                  <c:v>77.8</c:v>
                </c:pt>
                <c:pt idx="62">
                  <c:v>78.400000000000006</c:v>
                </c:pt>
                <c:pt idx="63">
                  <c:v>79</c:v>
                </c:pt>
                <c:pt idx="64">
                  <c:v>79.599999999999994</c:v>
                </c:pt>
                <c:pt idx="65">
                  <c:v>80.2</c:v>
                </c:pt>
                <c:pt idx="66">
                  <c:v>80.8</c:v>
                </c:pt>
                <c:pt idx="67">
                  <c:v>81.400000000000006</c:v>
                </c:pt>
                <c:pt idx="68">
                  <c:v>82</c:v>
                </c:pt>
                <c:pt idx="69">
                  <c:v>82.6</c:v>
                </c:pt>
                <c:pt idx="70">
                  <c:v>83.2</c:v>
                </c:pt>
                <c:pt idx="71">
                  <c:v>83.8</c:v>
                </c:pt>
                <c:pt idx="72">
                  <c:v>84.4</c:v>
                </c:pt>
                <c:pt idx="73">
                  <c:v>85</c:v>
                </c:pt>
                <c:pt idx="74">
                  <c:v>85.6</c:v>
                </c:pt>
                <c:pt idx="75">
                  <c:v>86.2</c:v>
                </c:pt>
                <c:pt idx="76">
                  <c:v>86.8</c:v>
                </c:pt>
                <c:pt idx="77">
                  <c:v>87.4</c:v>
                </c:pt>
                <c:pt idx="78">
                  <c:v>88</c:v>
                </c:pt>
                <c:pt idx="79">
                  <c:v>88.6</c:v>
                </c:pt>
                <c:pt idx="80">
                  <c:v>89.2</c:v>
                </c:pt>
                <c:pt idx="81">
                  <c:v>89.8</c:v>
                </c:pt>
                <c:pt idx="82">
                  <c:v>90.4</c:v>
                </c:pt>
                <c:pt idx="83">
                  <c:v>91</c:v>
                </c:pt>
                <c:pt idx="84">
                  <c:v>91.6</c:v>
                </c:pt>
                <c:pt idx="85">
                  <c:v>92.2</c:v>
                </c:pt>
                <c:pt idx="86">
                  <c:v>92.8</c:v>
                </c:pt>
                <c:pt idx="87">
                  <c:v>93.4</c:v>
                </c:pt>
                <c:pt idx="88">
                  <c:v>94</c:v>
                </c:pt>
                <c:pt idx="89">
                  <c:v>94.6</c:v>
                </c:pt>
                <c:pt idx="90">
                  <c:v>95.2</c:v>
                </c:pt>
                <c:pt idx="91">
                  <c:v>95.8</c:v>
                </c:pt>
                <c:pt idx="92">
                  <c:v>96.4</c:v>
                </c:pt>
                <c:pt idx="93">
                  <c:v>97</c:v>
                </c:pt>
                <c:pt idx="94">
                  <c:v>97.6</c:v>
                </c:pt>
                <c:pt idx="95">
                  <c:v>98.2</c:v>
                </c:pt>
                <c:pt idx="96">
                  <c:v>98.8</c:v>
                </c:pt>
                <c:pt idx="97">
                  <c:v>99.4</c:v>
                </c:pt>
                <c:pt idx="98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22-430D-8C00-DFAA56AC0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1621072"/>
        <c:axId val="623608608"/>
      </c:lineChart>
      <c:catAx>
        <c:axId val="6716210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23608608"/>
        <c:crosses val="autoZero"/>
        <c:auto val="1"/>
        <c:lblAlgn val="ctr"/>
        <c:lblOffset val="100"/>
        <c:noMultiLvlLbl val="0"/>
      </c:catAx>
      <c:valAx>
        <c:axId val="62360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71621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33336</xdr:colOff>
      <xdr:row>6</xdr:row>
      <xdr:rowOff>57149</xdr:rowOff>
    </xdr:from>
    <xdr:to>
      <xdr:col>24</xdr:col>
      <xdr:colOff>590550</xdr:colOff>
      <xdr:row>26</xdr:row>
      <xdr:rowOff>9524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479ABD3E-615A-4C71-8AF9-DAA1A3F365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0C661-2490-4B58-96F2-725F9122FA1C}">
  <dimension ref="A1:V109"/>
  <sheetViews>
    <sheetView tabSelected="1" zoomScale="85" zoomScaleNormal="85" workbookViewId="0">
      <selection activeCell="I27" sqref="I27"/>
    </sheetView>
  </sheetViews>
  <sheetFormatPr defaultColWidth="8.875" defaultRowHeight="18.75" x14ac:dyDescent="0.4"/>
  <cols>
    <col min="1" max="1" width="6.875" style="1" customWidth="1"/>
    <col min="2" max="2" width="12" style="1" customWidth="1"/>
    <col min="3" max="8" width="7.125" style="1" customWidth="1"/>
    <col min="9" max="9" width="17.625" style="1" customWidth="1"/>
    <col min="10" max="16" width="8.25" style="1" customWidth="1"/>
    <col min="17" max="16384" width="8.875" style="1"/>
  </cols>
  <sheetData>
    <row r="1" spans="1:22" x14ac:dyDescent="0.4">
      <c r="A1" s="1" t="s">
        <v>0</v>
      </c>
      <c r="B1" s="1" t="s">
        <v>1</v>
      </c>
      <c r="J1" s="5" t="s">
        <v>3</v>
      </c>
      <c r="K1" s="5" t="s">
        <v>4</v>
      </c>
      <c r="L1" s="16" t="s">
        <v>5</v>
      </c>
      <c r="M1" s="18" t="s">
        <v>6</v>
      </c>
      <c r="N1" s="17"/>
      <c r="U1" s="2">
        <v>1</v>
      </c>
      <c r="V1" s="2">
        <v>20</v>
      </c>
    </row>
    <row r="2" spans="1:22" x14ac:dyDescent="0.4">
      <c r="A2" s="1" t="s">
        <v>0</v>
      </c>
      <c r="B2" s="3" t="s">
        <v>2</v>
      </c>
      <c r="C2" s="4">
        <v>1</v>
      </c>
      <c r="I2" s="6" t="s">
        <v>7</v>
      </c>
      <c r="J2" s="4">
        <v>1</v>
      </c>
      <c r="K2" s="4">
        <v>20</v>
      </c>
      <c r="L2" s="4">
        <v>50</v>
      </c>
      <c r="M2" s="23">
        <v>100</v>
      </c>
      <c r="U2" s="2">
        <v>2</v>
      </c>
      <c r="V2" s="2">
        <v>30</v>
      </c>
    </row>
    <row r="3" spans="1:22" x14ac:dyDescent="0.4">
      <c r="A3" s="1" t="s">
        <v>0</v>
      </c>
      <c r="B3" s="3" t="s">
        <v>11</v>
      </c>
      <c r="C3" s="2" t="s">
        <v>22</v>
      </c>
      <c r="I3" s="3" t="s">
        <v>12</v>
      </c>
      <c r="J3" s="9">
        <v>0</v>
      </c>
      <c r="K3" s="9">
        <v>0.4</v>
      </c>
      <c r="L3" s="9">
        <v>0.7</v>
      </c>
      <c r="M3" s="9">
        <v>1</v>
      </c>
      <c r="U3" s="2">
        <v>3</v>
      </c>
      <c r="V3" s="2">
        <v>50</v>
      </c>
    </row>
    <row r="4" spans="1:22" x14ac:dyDescent="0.4">
      <c r="A4" s="1" t="s">
        <v>0</v>
      </c>
      <c r="B4" s="3" t="s">
        <v>8</v>
      </c>
      <c r="C4" s="7">
        <v>100</v>
      </c>
      <c r="J4" s="10" t="s">
        <v>13</v>
      </c>
      <c r="K4" s="10" t="s">
        <v>14</v>
      </c>
      <c r="L4" s="10" t="s">
        <v>23</v>
      </c>
      <c r="M4" s="10" t="s">
        <v>24</v>
      </c>
      <c r="N4" s="10" t="s">
        <v>15</v>
      </c>
      <c r="O4" s="10" t="s">
        <v>16</v>
      </c>
      <c r="P4" s="14"/>
      <c r="Q4" s="14"/>
      <c r="R4" s="14"/>
      <c r="S4" s="13"/>
      <c r="U4" s="2">
        <v>4</v>
      </c>
      <c r="V4" s="2">
        <v>70</v>
      </c>
    </row>
    <row r="5" spans="1:22" x14ac:dyDescent="0.4">
      <c r="A5" s="1" t="s">
        <v>0</v>
      </c>
      <c r="I5" s="3" t="s">
        <v>17</v>
      </c>
      <c r="J5" s="11">
        <v>100</v>
      </c>
      <c r="K5" s="11">
        <v>1000</v>
      </c>
      <c r="L5" s="11">
        <v>10</v>
      </c>
      <c r="M5" s="11">
        <v>1000</v>
      </c>
      <c r="N5" s="11">
        <v>50</v>
      </c>
      <c r="O5" s="11">
        <v>500</v>
      </c>
      <c r="P5" s="14"/>
      <c r="Q5" s="14"/>
      <c r="R5" s="14"/>
      <c r="S5" s="13"/>
      <c r="U5" s="2">
        <v>5</v>
      </c>
      <c r="V5" s="2">
        <v>80</v>
      </c>
    </row>
    <row r="6" spans="1:22" x14ac:dyDescent="0.4">
      <c r="A6" s="1" t="s">
        <v>0</v>
      </c>
      <c r="J6" s="1" t="s">
        <v>18</v>
      </c>
      <c r="U6" s="2">
        <v>6</v>
      </c>
      <c r="V6" s="2">
        <v>100</v>
      </c>
    </row>
    <row r="7" spans="1:22" x14ac:dyDescent="0.4">
      <c r="A7" s="1" t="s">
        <v>0</v>
      </c>
      <c r="J7" s="5" t="s">
        <v>19</v>
      </c>
      <c r="K7" s="16" t="s">
        <v>20</v>
      </c>
      <c r="L7" s="18" t="s">
        <v>21</v>
      </c>
      <c r="M7" s="17"/>
      <c r="N7" s="15"/>
    </row>
    <row r="8" spans="1:22" x14ac:dyDescent="0.4">
      <c r="B8" s="5" t="s">
        <v>9</v>
      </c>
      <c r="C8" s="5" t="s">
        <v>19</v>
      </c>
      <c r="D8" s="16" t="s">
        <v>20</v>
      </c>
      <c r="E8" s="18" t="s">
        <v>21</v>
      </c>
      <c r="F8" s="17"/>
      <c r="G8" s="15"/>
      <c r="H8" s="15"/>
      <c r="J8" s="5"/>
      <c r="K8" s="16"/>
      <c r="L8" s="18"/>
      <c r="M8" s="17"/>
      <c r="N8" s="15"/>
    </row>
    <row r="9" spans="1:22" x14ac:dyDescent="0.4">
      <c r="B9" s="2">
        <v>1</v>
      </c>
      <c r="C9" s="2" cm="1">
        <f t="array" ref="C9">ROUND(IF($B9&gt;$C$4,100%,_xlfn.IFS($B9&lt;=$K$2,($K$3-$J$3)/($K$2-$J$2)*(COUNTA($B$9:$B9)-$J$2)+$J$3,$B9&lt;=$L$2,($L$3-$K$3)/($L$2-$K$2)*(COUNTA($B$9:$B9)-$K$2)+$K$3,$B9&lt;=$M$2,($M$3-$L$3)/($M$2-$L$2)*(COUNTA($B$9:$B9)-$L$2)+$L$3,$B9&gt;$M$2,(100%-$M$3)/($C$4-$M$2)*(COUNTA($B$9:$B9)-$M$2)+$M$3))*100,2)</f>
        <v>0</v>
      </c>
      <c r="D9" s="20" cm="1">
        <f t="array" ref="D9">ROUND(IF($B9&gt;$C$4,100%,_xlfn.IFS($B9&lt;=$K$2,($K$3-$J$3)/($K$2-$J$2)*(COUNTA($B$9:$B9)-$J$2)+$J$3,$B9&lt;=$L$2,($L$3-$K$3)/($L$2-$K$2)*(COUNTA($B$9:$B9)-$K$2)+$K$3,$B9&lt;=$M$2,($M$3-$L$3)/($M$2-$L$2)*(COUNTA($B$9:$B9)-$L$2)+$L$3,$B9&gt;$M$2,(100%-$M$3)/($C$4-$M$2)*(COUNTA($B$9:$B9)-$M$2)+$M$3))*100,2)</f>
        <v>0</v>
      </c>
      <c r="E9" s="22" cm="1">
        <f t="array" ref="E9">ROUND(IF($B9&gt;$C$4,100%,_xlfn.IFS($B9&lt;=$K$2,($K$3-$J$3)/($K$2-$J$2)*(COUNTA($B$9:$B9)-$J$2)+$J$3,$B9&lt;=$L$2,($L$3-$K$3)/($L$2-$K$2)*(COUNTA($B$9:$B9)-$K$2)+$K$3,$B9&lt;=$M$2,($M$3-$L$3)/($M$2-$L$2)*(COUNTA($B$9:$B9)-$L$2)+$L$3,$B9&gt;$M$2,(100%-$M$3)/($C$4-$M$2)*(COUNTA($B$9:$B9)-$M$2)+$M$3))*100,2)</f>
        <v>0</v>
      </c>
      <c r="F9" s="21"/>
      <c r="G9" s="12"/>
      <c r="H9" s="12"/>
      <c r="J9" s="2">
        <f>ROUNDUP((($K$5-$J$5)*C9/100)+$J$5,0)</f>
        <v>100</v>
      </c>
      <c r="K9" s="2">
        <f>ROUNDUP((($O$5-$N$5)*D9/100)+$N$5,0)</f>
        <v>50</v>
      </c>
      <c r="L9" s="19">
        <f>ROUNDUP((($M$5-$L$5)*E9/100)+$L$5,0)</f>
        <v>10</v>
      </c>
      <c r="M9" s="12"/>
      <c r="N9" s="12"/>
    </row>
    <row r="10" spans="1:22" x14ac:dyDescent="0.4">
      <c r="B10" s="2">
        <v>2</v>
      </c>
      <c r="C10" s="2" cm="1">
        <f t="array" ref="C10">ROUND(IF($B10&gt;$C$4,100%,_xlfn.IFS($B10&lt;=$K$2,($K$3-$J$3)/($K$2-$J$2)*(COUNTA($B$9:$B10)-$J$2)+$J$3,$B10&lt;=$L$2,($L$3-$K$3)/($L$2-$K$2)*(COUNTA($B$9:$B10)-$K$2)+$K$3,$B10&lt;=$M$2,($M$3-$L$3)/($M$2-$L$2)*(COUNTA($B$9:$B10)-$L$2)+$L$3,$B10&gt;$M$2,(100%-$M$3)/($C$4-$M$2)*(COUNTA($B$9:$B10)-$M$2)+$M$3))*100,2)</f>
        <v>2.11</v>
      </c>
      <c r="D10" s="2" cm="1">
        <f t="array" ref="D10">ROUND(IF($B10&gt;$C$4,100%,_xlfn.IFS($B10&lt;=$K$2,($K$3-$J$3)/($K$2-$J$2)*(COUNTA($B$9:$B10)-$J$2)+$J$3,$B10&lt;=$L$2,($L$3-$K$3)/($L$2-$K$2)*(COUNTA($B$9:$B10)-$K$2)+$K$3,$B10&lt;=$M$2,($M$3-$L$3)/($M$2-$L$2)*(COUNTA($B$9:$B10)-$L$2)+$L$3,$B10&gt;$M$2,(100%-$M$3)/($C$4-$M$2)*(COUNTA($B$9:$B10)-$M$2)+$M$3))*100,2)</f>
        <v>2.11</v>
      </c>
      <c r="E10" s="19" cm="1">
        <f t="array" ref="E10">ROUND(IF($B10&gt;$C$4,100%,_xlfn.IFS($B10&lt;=$K$2,($K$3-$J$3)/($K$2-$J$2)*(COUNTA($B$9:$B10)-$J$2)+$J$3,$B10&lt;=$L$2,($L$3-$K$3)/($L$2-$K$2)*(COUNTA($B$9:$B10)-$K$2)+$K$3,$B10&lt;=$M$2,($M$3-$L$3)/($M$2-$L$2)*(COUNTA($B$9:$B10)-$L$2)+$L$3,$B10&gt;$M$2,(100%-$M$3)/($C$4-$M$2)*(COUNTA($B$9:$B10)-$M$2)+$M$3))*100,2)</f>
        <v>2.11</v>
      </c>
      <c r="F10" s="12"/>
      <c r="G10" s="12"/>
      <c r="H10" s="12"/>
      <c r="J10" s="2">
        <f>ROUNDUP((($K$5-$J$5)*C10/100)+$J$5,0)</f>
        <v>119</v>
      </c>
      <c r="K10" s="2">
        <f t="shared" ref="K9:K72" si="0">ROUNDUP((($O$5-$N$5)*D10/100)+$N$5,0)</f>
        <v>60</v>
      </c>
      <c r="L10" s="19">
        <f t="shared" ref="L10:L73" si="1">ROUNDUP((($M$5-$L$5)*E10/100)+$L$5,0)</f>
        <v>31</v>
      </c>
      <c r="M10" s="12"/>
      <c r="N10" s="12"/>
    </row>
    <row r="11" spans="1:22" x14ac:dyDescent="0.4">
      <c r="B11" s="2">
        <v>3</v>
      </c>
      <c r="C11" s="2" cm="1">
        <f t="array" ref="C11">ROUND(IF($B11&gt;$C$4,100%,_xlfn.IFS($B11&lt;=$K$2,($K$3-$J$3)/($K$2-$J$2)*(COUNTA($B$9:$B11)-$J$2)+$J$3,$B11&lt;=$L$2,($L$3-$K$3)/($L$2-$K$2)*(COUNTA($B$9:$B11)-$K$2)+$K$3,$B11&lt;=$M$2,($M$3-$L$3)/($M$2-$L$2)*(COUNTA($B$9:$B11)-$L$2)+$L$3,$B11&gt;$M$2,(100%-$M$3)/($C$4-$M$2)*(COUNTA($B$9:$B11)-$M$2)+$M$3))*100,2)</f>
        <v>4.21</v>
      </c>
      <c r="D11" s="2" cm="1">
        <f t="array" ref="D11">ROUND(IF($B11&gt;$C$4,100%,_xlfn.IFS($B11&lt;=$K$2,($K$3-$J$3)/($K$2-$J$2)*(COUNTA($B$9:$B11)-$J$2)+$J$3,$B11&lt;=$L$2,($L$3-$K$3)/($L$2-$K$2)*(COUNTA($B$9:$B11)-$K$2)+$K$3,$B11&lt;=$M$2,($M$3-$L$3)/($M$2-$L$2)*(COUNTA($B$9:$B11)-$L$2)+$L$3,$B11&gt;$M$2,(100%-$M$3)/($C$4-$M$2)*(COUNTA($B$9:$B11)-$M$2)+$M$3))*100,2)</f>
        <v>4.21</v>
      </c>
      <c r="E11" s="2" cm="1">
        <f t="array" ref="E11">ROUND(IF($B11&gt;$C$4,100%,_xlfn.IFS($B11&lt;=$K$2,($K$3-$J$3)/($K$2-$J$2)*(COUNTA($B$9:$B11)-$J$2)+$J$3,$B11&lt;=$L$2,($L$3-$K$3)/($L$2-$K$2)*(COUNTA($B$9:$B11)-$K$2)+$K$3,$B11&lt;=$M$2,($M$3-$L$3)/($M$2-$L$2)*(COUNTA($B$9:$B11)-$L$2)+$L$3,$B11&gt;$M$2,(100%-$M$3)/($C$4-$M$2)*(COUNTA($B$9:$B11)-$M$2)+$M$3))*100,2)</f>
        <v>4.21</v>
      </c>
      <c r="F11" s="12"/>
      <c r="G11" s="12"/>
      <c r="H11" s="12"/>
      <c r="J11" s="2">
        <f>ROUNDUP((($K$5-$J$5)*C11/100)+$J$5,0)</f>
        <v>138</v>
      </c>
      <c r="K11" s="2">
        <f t="shared" si="0"/>
        <v>69</v>
      </c>
      <c r="L11" s="19">
        <f t="shared" si="1"/>
        <v>52</v>
      </c>
      <c r="M11" s="12"/>
      <c r="N11" s="12"/>
    </row>
    <row r="12" spans="1:22" x14ac:dyDescent="0.4">
      <c r="B12" s="2">
        <v>4</v>
      </c>
      <c r="C12" s="2" cm="1">
        <f t="array" ref="C12">ROUND(IF($B12&gt;$C$4,100%,_xlfn.IFS($B12&lt;=$K$2,($K$3-$J$3)/($K$2-$J$2)*(COUNTA($B$9:$B12)-$J$2)+$J$3,$B12&lt;=$L$2,($L$3-$K$3)/($L$2-$K$2)*(COUNTA($B$9:$B12)-$K$2)+$K$3,$B12&lt;=$M$2,($M$3-$L$3)/($M$2-$L$2)*(COUNTA($B$9:$B12)-$L$2)+$L$3,$B12&gt;$M$2,(100%-$M$3)/($C$4-$M$2)*(COUNTA($B$9:$B12)-$M$2)+$M$3))*100,2)</f>
        <v>6.32</v>
      </c>
      <c r="D12" s="2" cm="1">
        <f t="array" ref="D12">ROUND(IF($B12&gt;$C$4,100%,_xlfn.IFS($B12&lt;=$K$2,($K$3-$J$3)/($K$2-$J$2)*(COUNTA($B$9:$B12)-$J$2)+$J$3,$B12&lt;=$L$2,($L$3-$K$3)/($L$2-$K$2)*(COUNTA($B$9:$B12)-$K$2)+$K$3,$B12&lt;=$M$2,($M$3-$L$3)/($M$2-$L$2)*(COUNTA($B$9:$B12)-$L$2)+$L$3,$B12&gt;$M$2,(100%-$M$3)/($C$4-$M$2)*(COUNTA($B$9:$B12)-$M$2)+$M$3))*100,2)</f>
        <v>6.32</v>
      </c>
      <c r="E12" s="2" cm="1">
        <f t="array" ref="E12">ROUND(IF($B12&gt;$C$4,100%,_xlfn.IFS($B12&lt;=$K$2,($K$3-$J$3)/($K$2-$J$2)*(COUNTA($B$9:$B12)-$J$2)+$J$3,$B12&lt;=$L$2,($L$3-$K$3)/($L$2-$K$2)*(COUNTA($B$9:$B12)-$K$2)+$K$3,$B12&lt;=$M$2,($M$3-$L$3)/($M$2-$L$2)*(COUNTA($B$9:$B12)-$L$2)+$L$3,$B12&gt;$M$2,(100%-$M$3)/($C$4-$M$2)*(COUNTA($B$9:$B12)-$M$2)+$M$3))*100,2)</f>
        <v>6.32</v>
      </c>
      <c r="F12" s="12"/>
      <c r="G12" s="12"/>
      <c r="H12" s="12"/>
      <c r="J12" s="2">
        <f>ROUNDUP((($K$5-$J$5)*C12/100)+$J$5,0)</f>
        <v>157</v>
      </c>
      <c r="K12" s="2">
        <f t="shared" si="0"/>
        <v>79</v>
      </c>
      <c r="L12" s="19">
        <f t="shared" si="1"/>
        <v>73</v>
      </c>
      <c r="M12" s="12"/>
      <c r="N12" s="12"/>
    </row>
    <row r="13" spans="1:22" x14ac:dyDescent="0.4">
      <c r="B13" s="2">
        <v>5</v>
      </c>
      <c r="C13" s="2" cm="1">
        <f t="array" ref="C13">ROUND(IF($B13&gt;$C$4,100%,_xlfn.IFS($B13&lt;=$K$2,($K$3-$J$3)/($K$2-$J$2)*(COUNTA($B$9:$B13)-$J$2)+$J$3,$B13&lt;=$L$2,($L$3-$K$3)/($L$2-$K$2)*(COUNTA($B$9:$B13)-$K$2)+$K$3,$B13&lt;=$M$2,($M$3-$L$3)/($M$2-$L$2)*(COUNTA($B$9:$B13)-$L$2)+$L$3,$B13&gt;$M$2,(100%-$M$3)/($C$4-$M$2)*(COUNTA($B$9:$B13)-$M$2)+$M$3))*100,2)</f>
        <v>8.42</v>
      </c>
      <c r="D13" s="2" cm="1">
        <f t="array" ref="D13">ROUND(IF($B13&gt;$C$4,100%,_xlfn.IFS($B13&lt;=$K$2,($K$3-$J$3)/($K$2-$J$2)*(COUNTA($B$9:$B13)-$J$2)+$J$3,$B13&lt;=$L$2,($L$3-$K$3)/($L$2-$K$2)*(COUNTA($B$9:$B13)-$K$2)+$K$3,$B13&lt;=$M$2,($M$3-$L$3)/($M$2-$L$2)*(COUNTA($B$9:$B13)-$L$2)+$L$3,$B13&gt;$M$2,(100%-$M$3)/($C$4-$M$2)*(COUNTA($B$9:$B13)-$M$2)+$M$3))*100,2)</f>
        <v>8.42</v>
      </c>
      <c r="E13" s="2" cm="1">
        <f t="array" ref="E13">ROUND(IF($B13&gt;$C$4,100%,_xlfn.IFS($B13&lt;=$K$2,($K$3-$J$3)/($K$2-$J$2)*(COUNTA($B$9:$B13)-$J$2)+$J$3,$B13&lt;=$L$2,($L$3-$K$3)/($L$2-$K$2)*(COUNTA($B$9:$B13)-$K$2)+$K$3,$B13&lt;=$M$2,($M$3-$L$3)/($M$2-$L$2)*(COUNTA($B$9:$B13)-$L$2)+$L$3,$B13&gt;$M$2,(100%-$M$3)/($C$4-$M$2)*(COUNTA($B$9:$B13)-$M$2)+$M$3))*100,2)</f>
        <v>8.42</v>
      </c>
      <c r="F13" s="12"/>
      <c r="G13" s="12"/>
      <c r="H13" s="12"/>
      <c r="J13" s="2">
        <f>ROUNDUP((($K$5-$J$5)*C13/100)+$J$5,0)</f>
        <v>176</v>
      </c>
      <c r="K13" s="2">
        <f t="shared" si="0"/>
        <v>88</v>
      </c>
      <c r="L13" s="19">
        <f t="shared" si="1"/>
        <v>94</v>
      </c>
      <c r="M13" s="12"/>
      <c r="N13" s="12"/>
    </row>
    <row r="14" spans="1:22" x14ac:dyDescent="0.4">
      <c r="B14" s="2">
        <v>6</v>
      </c>
      <c r="C14" s="2" cm="1">
        <f t="array" ref="C14">ROUND(IF($B14&gt;$C$4,100%,_xlfn.IFS($B14&lt;=$K$2,($K$3-$J$3)/($K$2-$J$2)*(COUNTA($B$9:$B14)-$J$2)+$J$3,$B14&lt;=$L$2,($L$3-$K$3)/($L$2-$K$2)*(COUNTA($B$9:$B14)-$K$2)+$K$3,$B14&lt;=$M$2,($M$3-$L$3)/($M$2-$L$2)*(COUNTA($B$9:$B14)-$L$2)+$L$3,$B14&gt;$M$2,(100%-$M$3)/($C$4-$M$2)*(COUNTA($B$9:$B14)-$M$2)+$M$3))*100,2)</f>
        <v>10.53</v>
      </c>
      <c r="D14" s="2" cm="1">
        <f t="array" ref="D14">ROUND(IF($B14&gt;$C$4,100%,_xlfn.IFS($B14&lt;=$K$2,($K$3-$J$3)/($K$2-$J$2)*(COUNTA($B$9:$B14)-$J$2)+$J$3,$B14&lt;=$L$2,($L$3-$K$3)/($L$2-$K$2)*(COUNTA($B$9:$B14)-$K$2)+$K$3,$B14&lt;=$M$2,($M$3-$L$3)/($M$2-$L$2)*(COUNTA($B$9:$B14)-$L$2)+$L$3,$B14&gt;$M$2,(100%-$M$3)/($C$4-$M$2)*(COUNTA($B$9:$B14)-$M$2)+$M$3))*100,2)</f>
        <v>10.53</v>
      </c>
      <c r="E14" s="2" cm="1">
        <f t="array" ref="E14">ROUND(IF($B14&gt;$C$4,100%,_xlfn.IFS($B14&lt;=$K$2,($K$3-$J$3)/($K$2-$J$2)*(COUNTA($B$9:$B14)-$J$2)+$J$3,$B14&lt;=$L$2,($L$3-$K$3)/($L$2-$K$2)*(COUNTA($B$9:$B14)-$K$2)+$K$3,$B14&lt;=$M$2,($M$3-$L$3)/($M$2-$L$2)*(COUNTA($B$9:$B14)-$L$2)+$L$3,$B14&gt;$M$2,(100%-$M$3)/($C$4-$M$2)*(COUNTA($B$9:$B14)-$M$2)+$M$3))*100,2)</f>
        <v>10.53</v>
      </c>
      <c r="F14" s="12"/>
      <c r="G14" s="12"/>
      <c r="H14" s="12"/>
      <c r="J14" s="2">
        <f>ROUNDUP((($K$5-$J$5)*C14/100)+$J$5,0)</f>
        <v>195</v>
      </c>
      <c r="K14" s="2">
        <f t="shared" si="0"/>
        <v>98</v>
      </c>
      <c r="L14" s="19">
        <f t="shared" si="1"/>
        <v>115</v>
      </c>
      <c r="M14" s="12"/>
      <c r="N14" s="12"/>
    </row>
    <row r="15" spans="1:22" x14ac:dyDescent="0.4">
      <c r="B15" s="2">
        <v>7</v>
      </c>
      <c r="C15" s="2" cm="1">
        <f t="array" ref="C15">ROUND(IF($B15&gt;$C$4,100%,_xlfn.IFS($B15&lt;=$K$2,($K$3-$J$3)/($K$2-$J$2)*(COUNTA($B$9:$B15)-$J$2)+$J$3,$B15&lt;=$L$2,($L$3-$K$3)/($L$2-$K$2)*(COUNTA($B$9:$B15)-$K$2)+$K$3,$B15&lt;=$M$2,($M$3-$L$3)/($M$2-$L$2)*(COUNTA($B$9:$B15)-$L$2)+$L$3,$B15&gt;$M$2,(100%-$M$3)/($C$4-$M$2)*(COUNTA($B$9:$B15)-$M$2)+$M$3))*100,2)</f>
        <v>12.63</v>
      </c>
      <c r="D15" s="2" cm="1">
        <f t="array" ref="D15">ROUND(IF($B15&gt;$C$4,100%,_xlfn.IFS($B15&lt;=$K$2,($K$3-$J$3)/($K$2-$J$2)*(COUNTA($B$9:$B15)-$J$2)+$J$3,$B15&lt;=$L$2,($L$3-$K$3)/($L$2-$K$2)*(COUNTA($B$9:$B15)-$K$2)+$K$3,$B15&lt;=$M$2,($M$3-$L$3)/($M$2-$L$2)*(COUNTA($B$9:$B15)-$L$2)+$L$3,$B15&gt;$M$2,(100%-$M$3)/($C$4-$M$2)*(COUNTA($B$9:$B15)-$M$2)+$M$3))*100,2)</f>
        <v>12.63</v>
      </c>
      <c r="E15" s="2" cm="1">
        <f t="array" ref="E15">ROUND(IF($B15&gt;$C$4,100%,_xlfn.IFS($B15&lt;=$K$2,($K$3-$J$3)/($K$2-$J$2)*(COUNTA($B$9:$B15)-$J$2)+$J$3,$B15&lt;=$L$2,($L$3-$K$3)/($L$2-$K$2)*(COUNTA($B$9:$B15)-$K$2)+$K$3,$B15&lt;=$M$2,($M$3-$L$3)/($M$2-$L$2)*(COUNTA($B$9:$B15)-$L$2)+$L$3,$B15&gt;$M$2,(100%-$M$3)/($C$4-$M$2)*(COUNTA($B$9:$B15)-$M$2)+$M$3))*100,2)</f>
        <v>12.63</v>
      </c>
      <c r="F15" s="12"/>
      <c r="G15" s="12"/>
      <c r="H15" s="12"/>
      <c r="J15" s="2">
        <f>ROUNDUP((($K$5-$J$5)*C15/100)+$J$5,0)</f>
        <v>214</v>
      </c>
      <c r="K15" s="2">
        <f t="shared" si="0"/>
        <v>107</v>
      </c>
      <c r="L15" s="19">
        <f t="shared" si="1"/>
        <v>136</v>
      </c>
      <c r="M15" s="12"/>
      <c r="N15" s="12"/>
    </row>
    <row r="16" spans="1:22" x14ac:dyDescent="0.4">
      <c r="B16" s="2">
        <v>8</v>
      </c>
      <c r="C16" s="2" cm="1">
        <f t="array" ref="C16">ROUND(IF($B16&gt;$C$4,100%,_xlfn.IFS($B16&lt;=$K$2,($K$3-$J$3)/($K$2-$J$2)*(COUNTA($B$9:$B16)-$J$2)+$J$3,$B16&lt;=$L$2,($L$3-$K$3)/($L$2-$K$2)*(COUNTA($B$9:$B16)-$K$2)+$K$3,$B16&lt;=$M$2,($M$3-$L$3)/($M$2-$L$2)*(COUNTA($B$9:$B16)-$L$2)+$L$3,$B16&gt;$M$2,(100%-$M$3)/($C$4-$M$2)*(COUNTA($B$9:$B16)-$M$2)+$M$3))*100,2)</f>
        <v>14.74</v>
      </c>
      <c r="D16" s="2" cm="1">
        <f t="array" ref="D16">ROUND(IF($B16&gt;$C$4,100%,_xlfn.IFS($B16&lt;=$K$2,($K$3-$J$3)/($K$2-$J$2)*(COUNTA($B$9:$B16)-$J$2)+$J$3,$B16&lt;=$L$2,($L$3-$K$3)/($L$2-$K$2)*(COUNTA($B$9:$B16)-$K$2)+$K$3,$B16&lt;=$M$2,($M$3-$L$3)/($M$2-$L$2)*(COUNTA($B$9:$B16)-$L$2)+$L$3,$B16&gt;$M$2,(100%-$M$3)/($C$4-$M$2)*(COUNTA($B$9:$B16)-$M$2)+$M$3))*100,2)</f>
        <v>14.74</v>
      </c>
      <c r="E16" s="2" cm="1">
        <f t="array" ref="E16">ROUND(IF($B16&gt;$C$4,100%,_xlfn.IFS($B16&lt;=$K$2,($K$3-$J$3)/($K$2-$J$2)*(COUNTA($B$9:$B16)-$J$2)+$J$3,$B16&lt;=$L$2,($L$3-$K$3)/($L$2-$K$2)*(COUNTA($B$9:$B16)-$K$2)+$K$3,$B16&lt;=$M$2,($M$3-$L$3)/($M$2-$L$2)*(COUNTA($B$9:$B16)-$L$2)+$L$3,$B16&gt;$M$2,(100%-$M$3)/($C$4-$M$2)*(COUNTA($B$9:$B16)-$M$2)+$M$3))*100,2)</f>
        <v>14.74</v>
      </c>
      <c r="F16" s="12"/>
      <c r="G16" s="12"/>
      <c r="H16" s="12"/>
      <c r="J16" s="2">
        <f>ROUNDUP((($K$5-$J$5)*C16/100)+$J$5,0)</f>
        <v>233</v>
      </c>
      <c r="K16" s="2">
        <f t="shared" si="0"/>
        <v>117</v>
      </c>
      <c r="L16" s="19">
        <f t="shared" si="1"/>
        <v>156</v>
      </c>
      <c r="M16" s="12"/>
      <c r="N16" s="12"/>
    </row>
    <row r="17" spans="2:14" x14ac:dyDescent="0.4">
      <c r="B17" s="2">
        <v>9</v>
      </c>
      <c r="C17" s="2" cm="1">
        <f t="array" ref="C17">ROUND(IF($B17&gt;$C$4,100%,_xlfn.IFS($B17&lt;=$K$2,($K$3-$J$3)/($K$2-$J$2)*(COUNTA($B$9:$B17)-$J$2)+$J$3,$B17&lt;=$L$2,($L$3-$K$3)/($L$2-$K$2)*(COUNTA($B$9:$B17)-$K$2)+$K$3,$B17&lt;=$M$2,($M$3-$L$3)/($M$2-$L$2)*(COUNTA($B$9:$B17)-$L$2)+$L$3,$B17&gt;$M$2,(100%-$M$3)/($C$4-$M$2)*(COUNTA($B$9:$B17)-$M$2)+$M$3))*100,2)</f>
        <v>16.84</v>
      </c>
      <c r="D17" s="2" cm="1">
        <f t="array" ref="D17">ROUND(IF($B17&gt;$C$4,100%,_xlfn.IFS($B17&lt;=$K$2,($K$3-$J$3)/($K$2-$J$2)*(COUNTA($B$9:$B17)-$J$2)+$J$3,$B17&lt;=$L$2,($L$3-$K$3)/($L$2-$K$2)*(COUNTA($B$9:$B17)-$K$2)+$K$3,$B17&lt;=$M$2,($M$3-$L$3)/($M$2-$L$2)*(COUNTA($B$9:$B17)-$L$2)+$L$3,$B17&gt;$M$2,(100%-$M$3)/($C$4-$M$2)*(COUNTA($B$9:$B17)-$M$2)+$M$3))*100,2)</f>
        <v>16.84</v>
      </c>
      <c r="E17" s="2" cm="1">
        <f t="array" ref="E17">ROUND(IF($B17&gt;$C$4,100%,_xlfn.IFS($B17&lt;=$K$2,($K$3-$J$3)/($K$2-$J$2)*(COUNTA($B$9:$B17)-$J$2)+$J$3,$B17&lt;=$L$2,($L$3-$K$3)/($L$2-$K$2)*(COUNTA($B$9:$B17)-$K$2)+$K$3,$B17&lt;=$M$2,($M$3-$L$3)/($M$2-$L$2)*(COUNTA($B$9:$B17)-$L$2)+$L$3,$B17&gt;$M$2,(100%-$M$3)/($C$4-$M$2)*(COUNTA($B$9:$B17)-$M$2)+$M$3))*100,2)</f>
        <v>16.84</v>
      </c>
      <c r="F17" s="12"/>
      <c r="G17" s="12"/>
      <c r="H17" s="12"/>
      <c r="J17" s="2">
        <f>ROUNDUP((($K$5-$J$5)*C17/100)+$J$5,0)</f>
        <v>252</v>
      </c>
      <c r="K17" s="2">
        <f t="shared" si="0"/>
        <v>126</v>
      </c>
      <c r="L17" s="19">
        <f t="shared" si="1"/>
        <v>177</v>
      </c>
      <c r="M17" s="12"/>
      <c r="N17" s="12"/>
    </row>
    <row r="18" spans="2:14" x14ac:dyDescent="0.4">
      <c r="B18" s="2">
        <v>10</v>
      </c>
      <c r="C18" s="2" cm="1">
        <f t="array" ref="C18">ROUND(IF($B18&gt;$C$4,100%,_xlfn.IFS($B18&lt;=$K$2,($K$3-$J$3)/($K$2-$J$2)*(COUNTA($B$9:$B18)-$J$2)+$J$3,$B18&lt;=$L$2,($L$3-$K$3)/($L$2-$K$2)*(COUNTA($B$9:$B18)-$K$2)+$K$3,$B18&lt;=$M$2,($M$3-$L$3)/($M$2-$L$2)*(COUNTA($B$9:$B18)-$L$2)+$L$3,$B18&gt;$M$2,(100%-$M$3)/($C$4-$M$2)*(COUNTA($B$9:$B18)-$M$2)+$M$3))*100,2)</f>
        <v>18.95</v>
      </c>
      <c r="D18" s="2" cm="1">
        <f t="array" ref="D18">ROUND(IF($B18&gt;$C$4,100%,_xlfn.IFS($B18&lt;=$K$2,($K$3-$J$3)/($K$2-$J$2)*(COUNTA($B$9:$B18)-$J$2)+$J$3,$B18&lt;=$L$2,($L$3-$K$3)/($L$2-$K$2)*(COUNTA($B$9:$B18)-$K$2)+$K$3,$B18&lt;=$M$2,($M$3-$L$3)/($M$2-$L$2)*(COUNTA($B$9:$B18)-$L$2)+$L$3,$B18&gt;$M$2,(100%-$M$3)/($C$4-$M$2)*(COUNTA($B$9:$B18)-$M$2)+$M$3))*100,2)</f>
        <v>18.95</v>
      </c>
      <c r="E18" s="2" cm="1">
        <f t="array" ref="E18">ROUND(IF($B18&gt;$C$4,100%,_xlfn.IFS($B18&lt;=$K$2,($K$3-$J$3)/($K$2-$J$2)*(COUNTA($B$9:$B18)-$J$2)+$J$3,$B18&lt;=$L$2,($L$3-$K$3)/($L$2-$K$2)*(COUNTA($B$9:$B18)-$K$2)+$K$3,$B18&lt;=$M$2,($M$3-$L$3)/($M$2-$L$2)*(COUNTA($B$9:$B18)-$L$2)+$L$3,$B18&gt;$M$2,(100%-$M$3)/($C$4-$M$2)*(COUNTA($B$9:$B18)-$M$2)+$M$3))*100,2)</f>
        <v>18.95</v>
      </c>
      <c r="F18" s="12"/>
      <c r="G18" s="12"/>
      <c r="H18" s="12"/>
      <c r="J18" s="2">
        <f>ROUNDUP((($K$5-$J$5)*C18/100)+$J$5,0)</f>
        <v>271</v>
      </c>
      <c r="K18" s="2">
        <f t="shared" si="0"/>
        <v>136</v>
      </c>
      <c r="L18" s="19">
        <f t="shared" si="1"/>
        <v>198</v>
      </c>
      <c r="M18" s="12"/>
      <c r="N18" s="12"/>
    </row>
    <row r="19" spans="2:14" x14ac:dyDescent="0.4">
      <c r="B19" s="2">
        <v>11</v>
      </c>
      <c r="C19" s="2" cm="1">
        <f t="array" ref="C19">ROUND(IF($B19&gt;$C$4,100%,_xlfn.IFS($B19&lt;=$K$2,($K$3-$J$3)/($K$2-$J$2)*(COUNTA($B$9:$B19)-$J$2)+$J$3,$B19&lt;=$L$2,($L$3-$K$3)/($L$2-$K$2)*(COUNTA($B$9:$B19)-$K$2)+$K$3,$B19&lt;=$M$2,($M$3-$L$3)/($M$2-$L$2)*(COUNTA($B$9:$B19)-$L$2)+$L$3,$B19&gt;$M$2,(100%-$M$3)/($C$4-$M$2)*(COUNTA($B$9:$B19)-$M$2)+$M$3))*100,2)</f>
        <v>21.05</v>
      </c>
      <c r="D19" s="2" cm="1">
        <f t="array" ref="D19">ROUND(IF($B19&gt;$C$4,100%,_xlfn.IFS($B19&lt;=$K$2,($K$3-$J$3)/($K$2-$J$2)*(COUNTA($B$9:$B19)-$J$2)+$J$3,$B19&lt;=$L$2,($L$3-$K$3)/($L$2-$K$2)*(COUNTA($B$9:$B19)-$K$2)+$K$3,$B19&lt;=$M$2,($M$3-$L$3)/($M$2-$L$2)*(COUNTA($B$9:$B19)-$L$2)+$L$3,$B19&gt;$M$2,(100%-$M$3)/($C$4-$M$2)*(COUNTA($B$9:$B19)-$M$2)+$M$3))*100,2)</f>
        <v>21.05</v>
      </c>
      <c r="E19" s="2" cm="1">
        <f t="array" ref="E19">ROUND(IF($B19&gt;$C$4,100%,_xlfn.IFS($B19&lt;=$K$2,($K$3-$J$3)/($K$2-$J$2)*(COUNTA($B$9:$B19)-$J$2)+$J$3,$B19&lt;=$L$2,($L$3-$K$3)/($L$2-$K$2)*(COUNTA($B$9:$B19)-$K$2)+$K$3,$B19&lt;=$M$2,($M$3-$L$3)/($M$2-$L$2)*(COUNTA($B$9:$B19)-$L$2)+$L$3,$B19&gt;$M$2,(100%-$M$3)/($C$4-$M$2)*(COUNTA($B$9:$B19)-$M$2)+$M$3))*100,2)</f>
        <v>21.05</v>
      </c>
      <c r="F19" s="12"/>
      <c r="G19" s="12"/>
      <c r="H19" s="12"/>
      <c r="J19" s="2">
        <f>ROUNDUP((($K$5-$J$5)*C19/100)+$J$5,0)</f>
        <v>290</v>
      </c>
      <c r="K19" s="2">
        <f t="shared" si="0"/>
        <v>145</v>
      </c>
      <c r="L19" s="19">
        <f t="shared" si="1"/>
        <v>219</v>
      </c>
      <c r="M19" s="12"/>
      <c r="N19" s="12"/>
    </row>
    <row r="20" spans="2:14" x14ac:dyDescent="0.4">
      <c r="B20" s="2">
        <v>12</v>
      </c>
      <c r="C20" s="2" cm="1">
        <f t="array" ref="C20">ROUND(IF($B20&gt;$C$4,100%,_xlfn.IFS($B20&lt;=$K$2,($K$3-$J$3)/($K$2-$J$2)*(COUNTA($B$9:$B20)-$J$2)+$J$3,$B20&lt;=$L$2,($L$3-$K$3)/($L$2-$K$2)*(COUNTA($B$9:$B20)-$K$2)+$K$3,$B20&lt;=$M$2,($M$3-$L$3)/($M$2-$L$2)*(COUNTA($B$9:$B20)-$L$2)+$L$3,$B20&gt;$M$2,(100%-$M$3)/($C$4-$M$2)*(COUNTA($B$9:$B20)-$M$2)+$M$3))*100,2)</f>
        <v>23.16</v>
      </c>
      <c r="D20" s="2" cm="1">
        <f t="array" ref="D20">ROUND(IF($B20&gt;$C$4,100%,_xlfn.IFS($B20&lt;=$K$2,($K$3-$J$3)/($K$2-$J$2)*(COUNTA($B$9:$B20)-$J$2)+$J$3,$B20&lt;=$L$2,($L$3-$K$3)/($L$2-$K$2)*(COUNTA($B$9:$B20)-$K$2)+$K$3,$B20&lt;=$M$2,($M$3-$L$3)/($M$2-$L$2)*(COUNTA($B$9:$B20)-$L$2)+$L$3,$B20&gt;$M$2,(100%-$M$3)/($C$4-$M$2)*(COUNTA($B$9:$B20)-$M$2)+$M$3))*100,2)</f>
        <v>23.16</v>
      </c>
      <c r="E20" s="2" cm="1">
        <f t="array" ref="E20">ROUND(IF($B20&gt;$C$4,100%,_xlfn.IFS($B20&lt;=$K$2,($K$3-$J$3)/($K$2-$J$2)*(COUNTA($B$9:$B20)-$J$2)+$J$3,$B20&lt;=$L$2,($L$3-$K$3)/($L$2-$K$2)*(COUNTA($B$9:$B20)-$K$2)+$K$3,$B20&lt;=$M$2,($M$3-$L$3)/($M$2-$L$2)*(COUNTA($B$9:$B20)-$L$2)+$L$3,$B20&gt;$M$2,(100%-$M$3)/($C$4-$M$2)*(COUNTA($B$9:$B20)-$M$2)+$M$3))*100,2)</f>
        <v>23.16</v>
      </c>
      <c r="F20" s="12"/>
      <c r="G20" s="12"/>
      <c r="H20" s="12"/>
      <c r="J20" s="2">
        <f>ROUNDUP((($K$5-$J$5)*C20/100)+$J$5,0)</f>
        <v>309</v>
      </c>
      <c r="K20" s="2">
        <f t="shared" si="0"/>
        <v>155</v>
      </c>
      <c r="L20" s="19">
        <f t="shared" si="1"/>
        <v>240</v>
      </c>
      <c r="M20" s="12"/>
      <c r="N20" s="12"/>
    </row>
    <row r="21" spans="2:14" x14ac:dyDescent="0.4">
      <c r="B21" s="2">
        <v>13</v>
      </c>
      <c r="C21" s="2" cm="1">
        <f t="array" ref="C21">ROUND(IF($B21&gt;$C$4,100%,_xlfn.IFS($B21&lt;=$K$2,($K$3-$J$3)/($K$2-$J$2)*(COUNTA($B$9:$B21)-$J$2)+$J$3,$B21&lt;=$L$2,($L$3-$K$3)/($L$2-$K$2)*(COUNTA($B$9:$B21)-$K$2)+$K$3,$B21&lt;=$M$2,($M$3-$L$3)/($M$2-$L$2)*(COUNTA($B$9:$B21)-$L$2)+$L$3,$B21&gt;$M$2,(100%-$M$3)/($C$4-$M$2)*(COUNTA($B$9:$B21)-$M$2)+$M$3))*100,2)</f>
        <v>25.26</v>
      </c>
      <c r="D21" s="2" cm="1">
        <f t="array" ref="D21">ROUND(IF($B21&gt;$C$4,100%,_xlfn.IFS($B21&lt;=$K$2,($K$3-$J$3)/($K$2-$J$2)*(COUNTA($B$9:$B21)-$J$2)+$J$3,$B21&lt;=$L$2,($L$3-$K$3)/($L$2-$K$2)*(COUNTA($B$9:$B21)-$K$2)+$K$3,$B21&lt;=$M$2,($M$3-$L$3)/($M$2-$L$2)*(COUNTA($B$9:$B21)-$L$2)+$L$3,$B21&gt;$M$2,(100%-$M$3)/($C$4-$M$2)*(COUNTA($B$9:$B21)-$M$2)+$M$3))*100,2)</f>
        <v>25.26</v>
      </c>
      <c r="E21" s="2" cm="1">
        <f t="array" ref="E21">ROUND(IF($B21&gt;$C$4,100%,_xlfn.IFS($B21&lt;=$K$2,($K$3-$J$3)/($K$2-$J$2)*(COUNTA($B$9:$B21)-$J$2)+$J$3,$B21&lt;=$L$2,($L$3-$K$3)/($L$2-$K$2)*(COUNTA($B$9:$B21)-$K$2)+$K$3,$B21&lt;=$M$2,($M$3-$L$3)/($M$2-$L$2)*(COUNTA($B$9:$B21)-$L$2)+$L$3,$B21&gt;$M$2,(100%-$M$3)/($C$4-$M$2)*(COUNTA($B$9:$B21)-$M$2)+$M$3))*100,2)</f>
        <v>25.26</v>
      </c>
      <c r="F21" s="12"/>
      <c r="G21" s="12"/>
      <c r="H21" s="12"/>
      <c r="J21" s="2">
        <f>ROUNDUP((($K$5-$J$5)*C21/100)+$J$5,0)</f>
        <v>328</v>
      </c>
      <c r="K21" s="2">
        <f t="shared" si="0"/>
        <v>164</v>
      </c>
      <c r="L21" s="19">
        <f t="shared" si="1"/>
        <v>261</v>
      </c>
      <c r="M21" s="12"/>
      <c r="N21" s="12"/>
    </row>
    <row r="22" spans="2:14" x14ac:dyDescent="0.4">
      <c r="B22" s="2">
        <v>14</v>
      </c>
      <c r="C22" s="2" cm="1">
        <f t="array" ref="C22">ROUND(IF($B22&gt;$C$4,100%,_xlfn.IFS($B22&lt;=$K$2,($K$3-$J$3)/($K$2-$J$2)*(COUNTA($B$9:$B22)-$J$2)+$J$3,$B22&lt;=$L$2,($L$3-$K$3)/($L$2-$K$2)*(COUNTA($B$9:$B22)-$K$2)+$K$3,$B22&lt;=$M$2,($M$3-$L$3)/($M$2-$L$2)*(COUNTA($B$9:$B22)-$L$2)+$L$3,$B22&gt;$M$2,(100%-$M$3)/($C$4-$M$2)*(COUNTA($B$9:$B22)-$M$2)+$M$3))*100,2)</f>
        <v>27.37</v>
      </c>
      <c r="D22" s="2" cm="1">
        <f t="array" ref="D22">ROUND(IF($B22&gt;$C$4,100%,_xlfn.IFS($B22&lt;=$K$2,($K$3-$J$3)/($K$2-$J$2)*(COUNTA($B$9:$B22)-$J$2)+$J$3,$B22&lt;=$L$2,($L$3-$K$3)/($L$2-$K$2)*(COUNTA($B$9:$B22)-$K$2)+$K$3,$B22&lt;=$M$2,($M$3-$L$3)/($M$2-$L$2)*(COUNTA($B$9:$B22)-$L$2)+$L$3,$B22&gt;$M$2,(100%-$M$3)/($C$4-$M$2)*(COUNTA($B$9:$B22)-$M$2)+$M$3))*100,2)</f>
        <v>27.37</v>
      </c>
      <c r="E22" s="2" cm="1">
        <f t="array" ref="E22">ROUND(IF($B22&gt;$C$4,100%,_xlfn.IFS($B22&lt;=$K$2,($K$3-$J$3)/($K$2-$J$2)*(COUNTA($B$9:$B22)-$J$2)+$J$3,$B22&lt;=$L$2,($L$3-$K$3)/($L$2-$K$2)*(COUNTA($B$9:$B22)-$K$2)+$K$3,$B22&lt;=$M$2,($M$3-$L$3)/($M$2-$L$2)*(COUNTA($B$9:$B22)-$L$2)+$L$3,$B22&gt;$M$2,(100%-$M$3)/($C$4-$M$2)*(COUNTA($B$9:$B22)-$M$2)+$M$3))*100,2)</f>
        <v>27.37</v>
      </c>
      <c r="F22" s="12"/>
      <c r="G22" s="12"/>
      <c r="H22" s="12"/>
      <c r="J22" s="2">
        <f>ROUNDUP((($K$5-$J$5)*C22/100)+$J$5,0)</f>
        <v>347</v>
      </c>
      <c r="K22" s="2">
        <f t="shared" si="0"/>
        <v>174</v>
      </c>
      <c r="L22" s="19">
        <f t="shared" si="1"/>
        <v>281</v>
      </c>
      <c r="M22" s="12"/>
      <c r="N22" s="12"/>
    </row>
    <row r="23" spans="2:14" x14ac:dyDescent="0.4">
      <c r="B23" s="2">
        <v>15</v>
      </c>
      <c r="C23" s="2" cm="1">
        <f t="array" ref="C23">ROUND(IF($B23&gt;$C$4,100%,_xlfn.IFS($B23&lt;=$K$2,($K$3-$J$3)/($K$2-$J$2)*(COUNTA($B$9:$B23)-$J$2)+$J$3,$B23&lt;=$L$2,($L$3-$K$3)/($L$2-$K$2)*(COUNTA($B$9:$B23)-$K$2)+$K$3,$B23&lt;=$M$2,($M$3-$L$3)/($M$2-$L$2)*(COUNTA($B$9:$B23)-$L$2)+$L$3,$B23&gt;$M$2,(100%-$M$3)/($C$4-$M$2)*(COUNTA($B$9:$B23)-$M$2)+$M$3))*100,2)</f>
        <v>29.47</v>
      </c>
      <c r="D23" s="2" cm="1">
        <f t="array" ref="D23">ROUND(IF($B23&gt;$C$4,100%,_xlfn.IFS($B23&lt;=$K$2,($K$3-$J$3)/($K$2-$J$2)*(COUNTA($B$9:$B23)-$J$2)+$J$3,$B23&lt;=$L$2,($L$3-$K$3)/($L$2-$K$2)*(COUNTA($B$9:$B23)-$K$2)+$K$3,$B23&lt;=$M$2,($M$3-$L$3)/($M$2-$L$2)*(COUNTA($B$9:$B23)-$L$2)+$L$3,$B23&gt;$M$2,(100%-$M$3)/($C$4-$M$2)*(COUNTA($B$9:$B23)-$M$2)+$M$3))*100,2)</f>
        <v>29.47</v>
      </c>
      <c r="E23" s="2" cm="1">
        <f t="array" ref="E23">ROUND(IF($B23&gt;$C$4,100%,_xlfn.IFS($B23&lt;=$K$2,($K$3-$J$3)/($K$2-$J$2)*(COUNTA($B$9:$B23)-$J$2)+$J$3,$B23&lt;=$L$2,($L$3-$K$3)/($L$2-$K$2)*(COUNTA($B$9:$B23)-$K$2)+$K$3,$B23&lt;=$M$2,($M$3-$L$3)/($M$2-$L$2)*(COUNTA($B$9:$B23)-$L$2)+$L$3,$B23&gt;$M$2,(100%-$M$3)/($C$4-$M$2)*(COUNTA($B$9:$B23)-$M$2)+$M$3))*100,2)</f>
        <v>29.47</v>
      </c>
      <c r="F23" s="12"/>
      <c r="G23" s="12"/>
      <c r="H23" s="12"/>
      <c r="J23" s="2">
        <f>ROUNDUP((($K$5-$J$5)*C23/100)+$J$5,0)</f>
        <v>366</v>
      </c>
      <c r="K23" s="2">
        <f t="shared" si="0"/>
        <v>183</v>
      </c>
      <c r="L23" s="19">
        <f t="shared" si="1"/>
        <v>302</v>
      </c>
      <c r="M23" s="12"/>
      <c r="N23" s="12"/>
    </row>
    <row r="24" spans="2:14" x14ac:dyDescent="0.4">
      <c r="B24" s="2">
        <v>16</v>
      </c>
      <c r="C24" s="2" cm="1">
        <f t="array" ref="C24">ROUND(IF($B24&gt;$C$4,100%,_xlfn.IFS($B24&lt;=$K$2,($K$3-$J$3)/($K$2-$J$2)*(COUNTA($B$9:$B24)-$J$2)+$J$3,$B24&lt;=$L$2,($L$3-$K$3)/($L$2-$K$2)*(COUNTA($B$9:$B24)-$K$2)+$K$3,$B24&lt;=$M$2,($M$3-$L$3)/($M$2-$L$2)*(COUNTA($B$9:$B24)-$L$2)+$L$3,$B24&gt;$M$2,(100%-$M$3)/($C$4-$M$2)*(COUNTA($B$9:$B24)-$M$2)+$M$3))*100,2)</f>
        <v>31.58</v>
      </c>
      <c r="D24" s="2" cm="1">
        <f t="array" ref="D24">ROUND(IF($B24&gt;$C$4,100%,_xlfn.IFS($B24&lt;=$K$2,($K$3-$J$3)/($K$2-$J$2)*(COUNTA($B$9:$B24)-$J$2)+$J$3,$B24&lt;=$L$2,($L$3-$K$3)/($L$2-$K$2)*(COUNTA($B$9:$B24)-$K$2)+$K$3,$B24&lt;=$M$2,($M$3-$L$3)/($M$2-$L$2)*(COUNTA($B$9:$B24)-$L$2)+$L$3,$B24&gt;$M$2,(100%-$M$3)/($C$4-$M$2)*(COUNTA($B$9:$B24)-$M$2)+$M$3))*100,2)</f>
        <v>31.58</v>
      </c>
      <c r="E24" s="2" cm="1">
        <f t="array" ref="E24">ROUND(IF($B24&gt;$C$4,100%,_xlfn.IFS($B24&lt;=$K$2,($K$3-$J$3)/($K$2-$J$2)*(COUNTA($B$9:$B24)-$J$2)+$J$3,$B24&lt;=$L$2,($L$3-$K$3)/($L$2-$K$2)*(COUNTA($B$9:$B24)-$K$2)+$K$3,$B24&lt;=$M$2,($M$3-$L$3)/($M$2-$L$2)*(COUNTA($B$9:$B24)-$L$2)+$L$3,$B24&gt;$M$2,(100%-$M$3)/($C$4-$M$2)*(COUNTA($B$9:$B24)-$M$2)+$M$3))*100,2)</f>
        <v>31.58</v>
      </c>
      <c r="F24" s="12"/>
      <c r="G24" s="12"/>
      <c r="H24" s="12"/>
      <c r="J24" s="2">
        <f>ROUNDUP((($K$5-$J$5)*C24/100)+$J$5,0)</f>
        <v>385</v>
      </c>
      <c r="K24" s="2">
        <f t="shared" si="0"/>
        <v>193</v>
      </c>
      <c r="L24" s="19">
        <f t="shared" si="1"/>
        <v>323</v>
      </c>
      <c r="M24" s="12"/>
      <c r="N24" s="12"/>
    </row>
    <row r="25" spans="2:14" x14ac:dyDescent="0.4">
      <c r="B25" s="2">
        <v>17</v>
      </c>
      <c r="C25" s="2" cm="1">
        <f t="array" ref="C25">ROUND(IF($B25&gt;$C$4,100%,_xlfn.IFS($B25&lt;=$K$2,($K$3-$J$3)/($K$2-$J$2)*(COUNTA($B$9:$B25)-$J$2)+$J$3,$B25&lt;=$L$2,($L$3-$K$3)/($L$2-$K$2)*(COUNTA($B$9:$B25)-$K$2)+$K$3,$B25&lt;=$M$2,($M$3-$L$3)/($M$2-$L$2)*(COUNTA($B$9:$B25)-$L$2)+$L$3,$B25&gt;$M$2,(100%-$M$3)/($C$4-$M$2)*(COUNTA($B$9:$B25)-$M$2)+$M$3))*100,2)</f>
        <v>33.68</v>
      </c>
      <c r="D25" s="2" cm="1">
        <f t="array" ref="D25">ROUND(IF($B25&gt;$C$4,100%,_xlfn.IFS($B25&lt;=$K$2,($K$3-$J$3)/($K$2-$J$2)*(COUNTA($B$9:$B25)-$J$2)+$J$3,$B25&lt;=$L$2,($L$3-$K$3)/($L$2-$K$2)*(COUNTA($B$9:$B25)-$K$2)+$K$3,$B25&lt;=$M$2,($M$3-$L$3)/($M$2-$L$2)*(COUNTA($B$9:$B25)-$L$2)+$L$3,$B25&gt;$M$2,(100%-$M$3)/($C$4-$M$2)*(COUNTA($B$9:$B25)-$M$2)+$M$3))*100,2)</f>
        <v>33.68</v>
      </c>
      <c r="E25" s="2" cm="1">
        <f t="array" ref="E25">ROUND(IF($B25&gt;$C$4,100%,_xlfn.IFS($B25&lt;=$K$2,($K$3-$J$3)/($K$2-$J$2)*(COUNTA($B$9:$B25)-$J$2)+$J$3,$B25&lt;=$L$2,($L$3-$K$3)/($L$2-$K$2)*(COUNTA($B$9:$B25)-$K$2)+$K$3,$B25&lt;=$M$2,($M$3-$L$3)/($M$2-$L$2)*(COUNTA($B$9:$B25)-$L$2)+$L$3,$B25&gt;$M$2,(100%-$M$3)/($C$4-$M$2)*(COUNTA($B$9:$B25)-$M$2)+$M$3))*100,2)</f>
        <v>33.68</v>
      </c>
      <c r="F25" s="12"/>
      <c r="G25" s="12"/>
      <c r="H25" s="12"/>
      <c r="J25" s="2">
        <f>ROUNDUP((($K$5-$J$5)*C25/100)+$J$5,0)</f>
        <v>404</v>
      </c>
      <c r="K25" s="2">
        <f t="shared" si="0"/>
        <v>202</v>
      </c>
      <c r="L25" s="19">
        <f t="shared" si="1"/>
        <v>344</v>
      </c>
      <c r="M25" s="12"/>
      <c r="N25" s="12"/>
    </row>
    <row r="26" spans="2:14" x14ac:dyDescent="0.4">
      <c r="B26" s="2">
        <v>18</v>
      </c>
      <c r="C26" s="2" cm="1">
        <f t="array" ref="C26">ROUND(IF($B26&gt;$C$4,100%,_xlfn.IFS($B26&lt;=$K$2,($K$3-$J$3)/($K$2-$J$2)*(COUNTA($B$9:$B26)-$J$2)+$J$3,$B26&lt;=$L$2,($L$3-$K$3)/($L$2-$K$2)*(COUNTA($B$9:$B26)-$K$2)+$K$3,$B26&lt;=$M$2,($M$3-$L$3)/($M$2-$L$2)*(COUNTA($B$9:$B26)-$L$2)+$L$3,$B26&gt;$M$2,(100%-$M$3)/($C$4-$M$2)*(COUNTA($B$9:$B26)-$M$2)+$M$3))*100,2)</f>
        <v>35.79</v>
      </c>
      <c r="D26" s="2" cm="1">
        <f t="array" ref="D26">ROUND(IF($B26&gt;$C$4,100%,_xlfn.IFS($B26&lt;=$K$2,($K$3-$J$3)/($K$2-$J$2)*(COUNTA($B$9:$B26)-$J$2)+$J$3,$B26&lt;=$L$2,($L$3-$K$3)/($L$2-$K$2)*(COUNTA($B$9:$B26)-$K$2)+$K$3,$B26&lt;=$M$2,($M$3-$L$3)/($M$2-$L$2)*(COUNTA($B$9:$B26)-$L$2)+$L$3,$B26&gt;$M$2,(100%-$M$3)/($C$4-$M$2)*(COUNTA($B$9:$B26)-$M$2)+$M$3))*100,2)</f>
        <v>35.79</v>
      </c>
      <c r="E26" s="2" cm="1">
        <f t="array" ref="E26">ROUND(IF($B26&gt;$C$4,100%,_xlfn.IFS($B26&lt;=$K$2,($K$3-$J$3)/($K$2-$J$2)*(COUNTA($B$9:$B26)-$J$2)+$J$3,$B26&lt;=$L$2,($L$3-$K$3)/($L$2-$K$2)*(COUNTA($B$9:$B26)-$K$2)+$K$3,$B26&lt;=$M$2,($M$3-$L$3)/($M$2-$L$2)*(COUNTA($B$9:$B26)-$L$2)+$L$3,$B26&gt;$M$2,(100%-$M$3)/($C$4-$M$2)*(COUNTA($B$9:$B26)-$M$2)+$M$3))*100,2)</f>
        <v>35.79</v>
      </c>
      <c r="F26" s="12"/>
      <c r="G26" s="12"/>
      <c r="H26" s="12"/>
      <c r="J26" s="2">
        <f>ROUNDUP((($K$5-$J$5)*C26/100)+$J$5,0)</f>
        <v>423</v>
      </c>
      <c r="K26" s="2">
        <f t="shared" si="0"/>
        <v>212</v>
      </c>
      <c r="L26" s="19">
        <f t="shared" si="1"/>
        <v>365</v>
      </c>
      <c r="M26" s="12"/>
      <c r="N26" s="12"/>
    </row>
    <row r="27" spans="2:14" x14ac:dyDescent="0.4">
      <c r="B27" s="2">
        <v>19</v>
      </c>
      <c r="C27" s="2" cm="1">
        <f t="array" ref="C27">ROUND(IF($B27&gt;$C$4,100%,_xlfn.IFS($B27&lt;=$K$2,($K$3-$J$3)/($K$2-$J$2)*(COUNTA($B$9:$B27)-$J$2)+$J$3,$B27&lt;=$L$2,($L$3-$K$3)/($L$2-$K$2)*(COUNTA($B$9:$B27)-$K$2)+$K$3,$B27&lt;=$M$2,($M$3-$L$3)/($M$2-$L$2)*(COUNTA($B$9:$B27)-$L$2)+$L$3,$B27&gt;$M$2,(100%-$M$3)/($C$4-$M$2)*(COUNTA($B$9:$B27)-$M$2)+$M$3))*100,2)</f>
        <v>37.89</v>
      </c>
      <c r="D27" s="2" cm="1">
        <f t="array" ref="D27">ROUND(IF($B27&gt;$C$4,100%,_xlfn.IFS($B27&lt;=$K$2,($K$3-$J$3)/($K$2-$J$2)*(COUNTA($B$9:$B27)-$J$2)+$J$3,$B27&lt;=$L$2,($L$3-$K$3)/($L$2-$K$2)*(COUNTA($B$9:$B27)-$K$2)+$K$3,$B27&lt;=$M$2,($M$3-$L$3)/($M$2-$L$2)*(COUNTA($B$9:$B27)-$L$2)+$L$3,$B27&gt;$M$2,(100%-$M$3)/($C$4-$M$2)*(COUNTA($B$9:$B27)-$M$2)+$M$3))*100,2)</f>
        <v>37.89</v>
      </c>
      <c r="E27" s="2" cm="1">
        <f t="array" ref="E27">ROUND(IF($B27&gt;$C$4,100%,_xlfn.IFS($B27&lt;=$K$2,($K$3-$J$3)/($K$2-$J$2)*(COUNTA($B$9:$B27)-$J$2)+$J$3,$B27&lt;=$L$2,($L$3-$K$3)/($L$2-$K$2)*(COUNTA($B$9:$B27)-$K$2)+$K$3,$B27&lt;=$M$2,($M$3-$L$3)/($M$2-$L$2)*(COUNTA($B$9:$B27)-$L$2)+$L$3,$B27&gt;$M$2,(100%-$M$3)/($C$4-$M$2)*(COUNTA($B$9:$B27)-$M$2)+$M$3))*100,2)</f>
        <v>37.89</v>
      </c>
      <c r="F27" s="12"/>
      <c r="G27" s="12"/>
      <c r="H27" s="12"/>
      <c r="J27" s="2">
        <f>ROUNDUP((($K$5-$J$5)*C27/100)+$J$5,0)</f>
        <v>442</v>
      </c>
      <c r="K27" s="2">
        <f t="shared" si="0"/>
        <v>221</v>
      </c>
      <c r="L27" s="19">
        <f t="shared" si="1"/>
        <v>386</v>
      </c>
      <c r="M27" s="12"/>
      <c r="N27" s="12"/>
    </row>
    <row r="28" spans="2:14" x14ac:dyDescent="0.4">
      <c r="B28" s="2">
        <v>20</v>
      </c>
      <c r="C28" s="2" cm="1">
        <f t="array" ref="C28">ROUND(IF($B28&gt;$C$4,100%,_xlfn.IFS($B28&lt;=$K$2,($K$3-$J$3)/($K$2-$J$2)*(COUNTA($B$9:$B28)-$J$2)+$J$3,$B28&lt;=$L$2,($L$3-$K$3)/($L$2-$K$2)*(COUNTA($B$9:$B28)-$K$2)+$K$3,$B28&lt;=$M$2,($M$3-$L$3)/($M$2-$L$2)*(COUNTA($B$9:$B28)-$L$2)+$L$3,$B28&gt;$M$2,(100%-$M$3)/($C$4-$M$2)*(COUNTA($B$9:$B28)-$M$2)+$M$3))*100,2)</f>
        <v>40</v>
      </c>
      <c r="D28" s="2" cm="1">
        <f t="array" ref="D28">ROUND(IF($B28&gt;$C$4,100%,_xlfn.IFS($B28&lt;=$K$2,($K$3-$J$3)/($K$2-$J$2)*(COUNTA($B$9:$B28)-$J$2)+$J$3,$B28&lt;=$L$2,($L$3-$K$3)/($L$2-$K$2)*(COUNTA($B$9:$B28)-$K$2)+$K$3,$B28&lt;=$M$2,($M$3-$L$3)/($M$2-$L$2)*(COUNTA($B$9:$B28)-$L$2)+$L$3,$B28&gt;$M$2,(100%-$M$3)/($C$4-$M$2)*(COUNTA($B$9:$B28)-$M$2)+$M$3))*100,2)</f>
        <v>40</v>
      </c>
      <c r="E28" s="2" cm="1">
        <f t="array" ref="E28">ROUND(IF($B28&gt;$C$4,100%,_xlfn.IFS($B28&lt;=$K$2,($K$3-$J$3)/($K$2-$J$2)*(COUNTA($B$9:$B28)-$J$2)+$J$3,$B28&lt;=$L$2,($L$3-$K$3)/($L$2-$K$2)*(COUNTA($B$9:$B28)-$K$2)+$K$3,$B28&lt;=$M$2,($M$3-$L$3)/($M$2-$L$2)*(COUNTA($B$9:$B28)-$L$2)+$L$3,$B28&gt;$M$2,(100%-$M$3)/($C$4-$M$2)*(COUNTA($B$9:$B28)-$M$2)+$M$3))*100,2)</f>
        <v>40</v>
      </c>
      <c r="F28" s="12"/>
      <c r="G28" s="12"/>
      <c r="H28" s="12"/>
      <c r="J28" s="2">
        <f>ROUNDUP((($K$5-$J$5)*C28/100)+$J$5,0)</f>
        <v>460</v>
      </c>
      <c r="K28" s="2">
        <f t="shared" si="0"/>
        <v>230</v>
      </c>
      <c r="L28" s="19">
        <f t="shared" si="1"/>
        <v>406</v>
      </c>
      <c r="M28" s="12"/>
      <c r="N28" s="12"/>
    </row>
    <row r="29" spans="2:14" x14ac:dyDescent="0.4">
      <c r="B29" s="2">
        <v>21</v>
      </c>
      <c r="C29" s="2" cm="1">
        <f t="array" ref="C29">ROUND(IF($B29&gt;$C$4,100%,_xlfn.IFS($B29&lt;=$K$2,($K$3-$J$3)/($K$2-$J$2)*(COUNTA($B$9:$B29)-$J$2)+$J$3,$B29&lt;=$L$2,($L$3-$K$3)/($L$2-$K$2)*(COUNTA($B$9:$B29)-$K$2)+$K$3,$B29&lt;=$M$2,($M$3-$L$3)/($M$2-$L$2)*(COUNTA($B$9:$B29)-$L$2)+$L$3,$B29&gt;$M$2,(100%-$M$3)/($C$4-$M$2)*(COUNTA($B$9:$B29)-$M$2)+$M$3))*100,2)</f>
        <v>41</v>
      </c>
      <c r="D29" s="2" cm="1">
        <f t="array" ref="D29">ROUND(IF($B29&gt;$C$4,100%,_xlfn.IFS($B29&lt;=$K$2,($K$3-$J$3)/($K$2-$J$2)*(COUNTA($B$9:$B29)-$J$2)+$J$3,$B29&lt;=$L$2,($L$3-$K$3)/($L$2-$K$2)*(COUNTA($B$9:$B29)-$K$2)+$K$3,$B29&lt;=$M$2,($M$3-$L$3)/($M$2-$L$2)*(COUNTA($B$9:$B29)-$L$2)+$L$3,$B29&gt;$M$2,(100%-$M$3)/($C$4-$M$2)*(COUNTA($B$9:$B29)-$M$2)+$M$3))*100,2)</f>
        <v>41</v>
      </c>
      <c r="E29" s="2" cm="1">
        <f t="array" ref="E29">ROUND(IF($B29&gt;$C$4,100%,_xlfn.IFS($B29&lt;=$K$2,($K$3-$J$3)/($K$2-$J$2)*(COUNTA($B$9:$B29)-$J$2)+$J$3,$B29&lt;=$L$2,($L$3-$K$3)/($L$2-$K$2)*(COUNTA($B$9:$B29)-$K$2)+$K$3,$B29&lt;=$M$2,($M$3-$L$3)/($M$2-$L$2)*(COUNTA($B$9:$B29)-$L$2)+$L$3,$B29&gt;$M$2,(100%-$M$3)/($C$4-$M$2)*(COUNTA($B$9:$B29)-$M$2)+$M$3))*100,2)</f>
        <v>41</v>
      </c>
      <c r="F29" s="12"/>
      <c r="G29" s="12"/>
      <c r="H29" s="12"/>
      <c r="J29" s="2">
        <f>ROUNDUP((($K$5-$J$5)*C29/100)+$J$5,0)</f>
        <v>469</v>
      </c>
      <c r="K29" s="2">
        <f t="shared" si="0"/>
        <v>235</v>
      </c>
      <c r="L29" s="19">
        <f t="shared" si="1"/>
        <v>416</v>
      </c>
      <c r="M29" s="12"/>
      <c r="N29" s="12"/>
    </row>
    <row r="30" spans="2:14" x14ac:dyDescent="0.4">
      <c r="B30" s="2">
        <v>22</v>
      </c>
      <c r="C30" s="2" cm="1">
        <f t="array" ref="C30">ROUND(IF($B30&gt;$C$4,100%,_xlfn.IFS($B30&lt;=$K$2,($K$3-$J$3)/($K$2-$J$2)*(COUNTA($B$9:$B30)-$J$2)+$J$3,$B30&lt;=$L$2,($L$3-$K$3)/($L$2-$K$2)*(COUNTA($B$9:$B30)-$K$2)+$K$3,$B30&lt;=$M$2,($M$3-$L$3)/($M$2-$L$2)*(COUNTA($B$9:$B30)-$L$2)+$L$3,$B30&gt;$M$2,(100%-$M$3)/($C$4-$M$2)*(COUNTA($B$9:$B30)-$M$2)+$M$3))*100,2)</f>
        <v>42</v>
      </c>
      <c r="D30" s="2" cm="1">
        <f t="array" ref="D30">ROUND(IF($B30&gt;$C$4,100%,_xlfn.IFS($B30&lt;=$K$2,($K$3-$J$3)/($K$2-$J$2)*(COUNTA($B$9:$B30)-$J$2)+$J$3,$B30&lt;=$L$2,($L$3-$K$3)/($L$2-$K$2)*(COUNTA($B$9:$B30)-$K$2)+$K$3,$B30&lt;=$M$2,($M$3-$L$3)/($M$2-$L$2)*(COUNTA($B$9:$B30)-$L$2)+$L$3,$B30&gt;$M$2,(100%-$M$3)/($C$4-$M$2)*(COUNTA($B$9:$B30)-$M$2)+$M$3))*100,2)</f>
        <v>42</v>
      </c>
      <c r="E30" s="2" cm="1">
        <f t="array" ref="E30">ROUND(IF($B30&gt;$C$4,100%,_xlfn.IFS($B30&lt;=$K$2,($K$3-$J$3)/($K$2-$J$2)*(COUNTA($B$9:$B30)-$J$2)+$J$3,$B30&lt;=$L$2,($L$3-$K$3)/($L$2-$K$2)*(COUNTA($B$9:$B30)-$K$2)+$K$3,$B30&lt;=$M$2,($M$3-$L$3)/($M$2-$L$2)*(COUNTA($B$9:$B30)-$L$2)+$L$3,$B30&gt;$M$2,(100%-$M$3)/($C$4-$M$2)*(COUNTA($B$9:$B30)-$M$2)+$M$3))*100,2)</f>
        <v>42</v>
      </c>
      <c r="F30" s="12"/>
      <c r="G30" s="12"/>
      <c r="H30" s="12"/>
      <c r="J30" s="2">
        <f>ROUNDUP((($K$5-$J$5)*C30/100)+$J$5,0)</f>
        <v>478</v>
      </c>
      <c r="K30" s="2">
        <f t="shared" si="0"/>
        <v>239</v>
      </c>
      <c r="L30" s="19">
        <f t="shared" si="1"/>
        <v>426</v>
      </c>
      <c r="M30" s="12"/>
      <c r="N30" s="12"/>
    </row>
    <row r="31" spans="2:14" x14ac:dyDescent="0.4">
      <c r="B31" s="2">
        <v>23</v>
      </c>
      <c r="C31" s="2" cm="1">
        <f t="array" ref="C31">ROUND(IF($B31&gt;$C$4,100%,_xlfn.IFS($B31&lt;=$K$2,($K$3-$J$3)/($K$2-$J$2)*(COUNTA($B$9:$B31)-$J$2)+$J$3,$B31&lt;=$L$2,($L$3-$K$3)/($L$2-$K$2)*(COUNTA($B$9:$B31)-$K$2)+$K$3,$B31&lt;=$M$2,($M$3-$L$3)/($M$2-$L$2)*(COUNTA($B$9:$B31)-$L$2)+$L$3,$B31&gt;$M$2,(100%-$M$3)/($C$4-$M$2)*(COUNTA($B$9:$B31)-$M$2)+$M$3))*100,2)</f>
        <v>43</v>
      </c>
      <c r="D31" s="2" cm="1">
        <f t="array" ref="D31">ROUND(IF($B31&gt;$C$4,100%,_xlfn.IFS($B31&lt;=$K$2,($K$3-$J$3)/($K$2-$J$2)*(COUNTA($B$9:$B31)-$J$2)+$J$3,$B31&lt;=$L$2,($L$3-$K$3)/($L$2-$K$2)*(COUNTA($B$9:$B31)-$K$2)+$K$3,$B31&lt;=$M$2,($M$3-$L$3)/($M$2-$L$2)*(COUNTA($B$9:$B31)-$L$2)+$L$3,$B31&gt;$M$2,(100%-$M$3)/($C$4-$M$2)*(COUNTA($B$9:$B31)-$M$2)+$M$3))*100,2)</f>
        <v>43</v>
      </c>
      <c r="E31" s="2" cm="1">
        <f t="array" ref="E31">ROUND(IF($B31&gt;$C$4,100%,_xlfn.IFS($B31&lt;=$K$2,($K$3-$J$3)/($K$2-$J$2)*(COUNTA($B$9:$B31)-$J$2)+$J$3,$B31&lt;=$L$2,($L$3-$K$3)/($L$2-$K$2)*(COUNTA($B$9:$B31)-$K$2)+$K$3,$B31&lt;=$M$2,($M$3-$L$3)/($M$2-$L$2)*(COUNTA($B$9:$B31)-$L$2)+$L$3,$B31&gt;$M$2,(100%-$M$3)/($C$4-$M$2)*(COUNTA($B$9:$B31)-$M$2)+$M$3))*100,2)</f>
        <v>43</v>
      </c>
      <c r="F31" s="12"/>
      <c r="G31" s="12"/>
      <c r="H31" s="12"/>
      <c r="J31" s="2">
        <f>ROUNDUP((($K$5-$J$5)*C31/100)+$J$5,0)</f>
        <v>487</v>
      </c>
      <c r="K31" s="2">
        <f t="shared" si="0"/>
        <v>244</v>
      </c>
      <c r="L31" s="19">
        <f t="shared" si="1"/>
        <v>436</v>
      </c>
      <c r="M31" s="12"/>
      <c r="N31" s="12"/>
    </row>
    <row r="32" spans="2:14" x14ac:dyDescent="0.4">
      <c r="B32" s="2">
        <v>24</v>
      </c>
      <c r="C32" s="2" cm="1">
        <f t="array" ref="C32">ROUND(IF($B32&gt;$C$4,100%,_xlfn.IFS($B32&lt;=$K$2,($K$3-$J$3)/($K$2-$J$2)*(COUNTA($B$9:$B32)-$J$2)+$J$3,$B32&lt;=$L$2,($L$3-$K$3)/($L$2-$K$2)*(COUNTA($B$9:$B32)-$K$2)+$K$3,$B32&lt;=$M$2,($M$3-$L$3)/($M$2-$L$2)*(COUNTA($B$9:$B32)-$L$2)+$L$3,$B32&gt;$M$2,(100%-$M$3)/($C$4-$M$2)*(COUNTA($B$9:$B32)-$M$2)+$M$3))*100,2)</f>
        <v>44</v>
      </c>
      <c r="D32" s="2" cm="1">
        <f t="array" ref="D32">ROUND(IF($B32&gt;$C$4,100%,_xlfn.IFS($B32&lt;=$K$2,($K$3-$J$3)/($K$2-$J$2)*(COUNTA($B$9:$B32)-$J$2)+$J$3,$B32&lt;=$L$2,($L$3-$K$3)/($L$2-$K$2)*(COUNTA($B$9:$B32)-$K$2)+$K$3,$B32&lt;=$M$2,($M$3-$L$3)/($M$2-$L$2)*(COUNTA($B$9:$B32)-$L$2)+$L$3,$B32&gt;$M$2,(100%-$M$3)/($C$4-$M$2)*(COUNTA($B$9:$B32)-$M$2)+$M$3))*100,2)</f>
        <v>44</v>
      </c>
      <c r="E32" s="2" cm="1">
        <f t="array" ref="E32">ROUND(IF($B32&gt;$C$4,100%,_xlfn.IFS($B32&lt;=$K$2,($K$3-$J$3)/($K$2-$J$2)*(COUNTA($B$9:$B32)-$J$2)+$J$3,$B32&lt;=$L$2,($L$3-$K$3)/($L$2-$K$2)*(COUNTA($B$9:$B32)-$K$2)+$K$3,$B32&lt;=$M$2,($M$3-$L$3)/($M$2-$L$2)*(COUNTA($B$9:$B32)-$L$2)+$L$3,$B32&gt;$M$2,(100%-$M$3)/($C$4-$M$2)*(COUNTA($B$9:$B32)-$M$2)+$M$3))*100,2)</f>
        <v>44</v>
      </c>
      <c r="F32" s="12"/>
      <c r="G32" s="12"/>
      <c r="H32" s="12"/>
      <c r="J32" s="2">
        <f>ROUNDUP((($K$5-$J$5)*C32/100)+$J$5,0)</f>
        <v>496</v>
      </c>
      <c r="K32" s="2">
        <f t="shared" si="0"/>
        <v>248</v>
      </c>
      <c r="L32" s="19">
        <f t="shared" si="1"/>
        <v>446</v>
      </c>
      <c r="M32" s="12"/>
      <c r="N32" s="12"/>
    </row>
    <row r="33" spans="2:14" x14ac:dyDescent="0.4">
      <c r="B33" s="2">
        <v>25</v>
      </c>
      <c r="C33" s="2" cm="1">
        <f t="array" ref="C33">ROUND(IF($B33&gt;$C$4,100%,_xlfn.IFS($B33&lt;=$K$2,($K$3-$J$3)/($K$2-$J$2)*(COUNTA($B$9:$B33)-$J$2)+$J$3,$B33&lt;=$L$2,($L$3-$K$3)/($L$2-$K$2)*(COUNTA($B$9:$B33)-$K$2)+$K$3,$B33&lt;=$M$2,($M$3-$L$3)/($M$2-$L$2)*(COUNTA($B$9:$B33)-$L$2)+$L$3,$B33&gt;$M$2,(100%-$M$3)/($C$4-$M$2)*(COUNTA($B$9:$B33)-$M$2)+$M$3))*100,2)</f>
        <v>45</v>
      </c>
      <c r="D33" s="2" cm="1">
        <f t="array" ref="D33">ROUND(IF($B33&gt;$C$4,100%,_xlfn.IFS($B33&lt;=$K$2,($K$3-$J$3)/($K$2-$J$2)*(COUNTA($B$9:$B33)-$J$2)+$J$3,$B33&lt;=$L$2,($L$3-$K$3)/($L$2-$K$2)*(COUNTA($B$9:$B33)-$K$2)+$K$3,$B33&lt;=$M$2,($M$3-$L$3)/($M$2-$L$2)*(COUNTA($B$9:$B33)-$L$2)+$L$3,$B33&gt;$M$2,(100%-$M$3)/($C$4-$M$2)*(COUNTA($B$9:$B33)-$M$2)+$M$3))*100,2)</f>
        <v>45</v>
      </c>
      <c r="E33" s="2" cm="1">
        <f t="array" ref="E33">ROUND(IF($B33&gt;$C$4,100%,_xlfn.IFS($B33&lt;=$K$2,($K$3-$J$3)/($K$2-$J$2)*(COUNTA($B$9:$B33)-$J$2)+$J$3,$B33&lt;=$L$2,($L$3-$K$3)/($L$2-$K$2)*(COUNTA($B$9:$B33)-$K$2)+$K$3,$B33&lt;=$M$2,($M$3-$L$3)/($M$2-$L$2)*(COUNTA($B$9:$B33)-$L$2)+$L$3,$B33&gt;$M$2,(100%-$M$3)/($C$4-$M$2)*(COUNTA($B$9:$B33)-$M$2)+$M$3))*100,2)</f>
        <v>45</v>
      </c>
      <c r="F33" s="12"/>
      <c r="G33" s="12"/>
      <c r="H33" s="12"/>
      <c r="J33" s="2">
        <f>ROUNDUP((($K$5-$J$5)*C33/100)+$J$5,0)</f>
        <v>505</v>
      </c>
      <c r="K33" s="2">
        <f t="shared" si="0"/>
        <v>253</v>
      </c>
      <c r="L33" s="19">
        <f t="shared" si="1"/>
        <v>456</v>
      </c>
      <c r="M33" s="12"/>
      <c r="N33" s="12"/>
    </row>
    <row r="34" spans="2:14" x14ac:dyDescent="0.4">
      <c r="B34" s="2">
        <v>26</v>
      </c>
      <c r="C34" s="2" cm="1">
        <f t="array" ref="C34">ROUND(IF($B34&gt;$C$4,100%,_xlfn.IFS($B34&lt;=$K$2,($K$3-$J$3)/($K$2-$J$2)*(COUNTA($B$9:$B34)-$J$2)+$J$3,$B34&lt;=$L$2,($L$3-$K$3)/($L$2-$K$2)*(COUNTA($B$9:$B34)-$K$2)+$K$3,$B34&lt;=$M$2,($M$3-$L$3)/($M$2-$L$2)*(COUNTA($B$9:$B34)-$L$2)+$L$3,$B34&gt;$M$2,(100%-$M$3)/($C$4-$M$2)*(COUNTA($B$9:$B34)-$M$2)+$M$3))*100,2)</f>
        <v>46</v>
      </c>
      <c r="D34" s="2" cm="1">
        <f t="array" ref="D34">ROUND(IF($B34&gt;$C$4,100%,_xlfn.IFS($B34&lt;=$K$2,($K$3-$J$3)/($K$2-$J$2)*(COUNTA($B$9:$B34)-$J$2)+$J$3,$B34&lt;=$L$2,($L$3-$K$3)/($L$2-$K$2)*(COUNTA($B$9:$B34)-$K$2)+$K$3,$B34&lt;=$M$2,($M$3-$L$3)/($M$2-$L$2)*(COUNTA($B$9:$B34)-$L$2)+$L$3,$B34&gt;$M$2,(100%-$M$3)/($C$4-$M$2)*(COUNTA($B$9:$B34)-$M$2)+$M$3))*100,2)</f>
        <v>46</v>
      </c>
      <c r="E34" s="2" cm="1">
        <f t="array" ref="E34">ROUND(IF($B34&gt;$C$4,100%,_xlfn.IFS($B34&lt;=$K$2,($K$3-$J$3)/($K$2-$J$2)*(COUNTA($B$9:$B34)-$J$2)+$J$3,$B34&lt;=$L$2,($L$3-$K$3)/($L$2-$K$2)*(COUNTA($B$9:$B34)-$K$2)+$K$3,$B34&lt;=$M$2,($M$3-$L$3)/($M$2-$L$2)*(COUNTA($B$9:$B34)-$L$2)+$L$3,$B34&gt;$M$2,(100%-$M$3)/($C$4-$M$2)*(COUNTA($B$9:$B34)-$M$2)+$M$3))*100,2)</f>
        <v>46</v>
      </c>
      <c r="F34" s="12"/>
      <c r="G34" s="12"/>
      <c r="H34" s="12"/>
      <c r="J34" s="2">
        <f>ROUNDUP((($K$5-$J$5)*C34/100)+$J$5,0)</f>
        <v>514</v>
      </c>
      <c r="K34" s="2">
        <f t="shared" si="0"/>
        <v>257</v>
      </c>
      <c r="L34" s="19">
        <f t="shared" si="1"/>
        <v>466</v>
      </c>
      <c r="M34" s="12"/>
      <c r="N34" s="12"/>
    </row>
    <row r="35" spans="2:14" x14ac:dyDescent="0.4">
      <c r="B35" s="2">
        <v>27</v>
      </c>
      <c r="C35" s="2" cm="1">
        <f t="array" ref="C35">ROUND(IF($B35&gt;$C$4,100%,_xlfn.IFS($B35&lt;=$K$2,($K$3-$J$3)/($K$2-$J$2)*(COUNTA($B$9:$B35)-$J$2)+$J$3,$B35&lt;=$L$2,($L$3-$K$3)/($L$2-$K$2)*(COUNTA($B$9:$B35)-$K$2)+$K$3,$B35&lt;=$M$2,($M$3-$L$3)/($M$2-$L$2)*(COUNTA($B$9:$B35)-$L$2)+$L$3,$B35&gt;$M$2,(100%-$M$3)/($C$4-$M$2)*(COUNTA($B$9:$B35)-$M$2)+$M$3))*100,2)</f>
        <v>47</v>
      </c>
      <c r="D35" s="2" cm="1">
        <f t="array" ref="D35">ROUND(IF($B35&gt;$C$4,100%,_xlfn.IFS($B35&lt;=$K$2,($K$3-$J$3)/($K$2-$J$2)*(COUNTA($B$9:$B35)-$J$2)+$J$3,$B35&lt;=$L$2,($L$3-$K$3)/($L$2-$K$2)*(COUNTA($B$9:$B35)-$K$2)+$K$3,$B35&lt;=$M$2,($M$3-$L$3)/($M$2-$L$2)*(COUNTA($B$9:$B35)-$L$2)+$L$3,$B35&gt;$M$2,(100%-$M$3)/($C$4-$M$2)*(COUNTA($B$9:$B35)-$M$2)+$M$3))*100,2)</f>
        <v>47</v>
      </c>
      <c r="E35" s="2" cm="1">
        <f t="array" ref="E35">ROUND(IF($B35&gt;$C$4,100%,_xlfn.IFS($B35&lt;=$K$2,($K$3-$J$3)/($K$2-$J$2)*(COUNTA($B$9:$B35)-$J$2)+$J$3,$B35&lt;=$L$2,($L$3-$K$3)/($L$2-$K$2)*(COUNTA($B$9:$B35)-$K$2)+$K$3,$B35&lt;=$M$2,($M$3-$L$3)/($M$2-$L$2)*(COUNTA($B$9:$B35)-$L$2)+$L$3,$B35&gt;$M$2,(100%-$M$3)/($C$4-$M$2)*(COUNTA($B$9:$B35)-$M$2)+$M$3))*100,2)</f>
        <v>47</v>
      </c>
      <c r="F35" s="12"/>
      <c r="G35" s="12"/>
      <c r="H35" s="12"/>
      <c r="J35" s="2">
        <f>ROUNDUP((($K$5-$J$5)*C35/100)+$J$5,0)</f>
        <v>523</v>
      </c>
      <c r="K35" s="2">
        <f t="shared" si="0"/>
        <v>262</v>
      </c>
      <c r="L35" s="19">
        <f t="shared" si="1"/>
        <v>476</v>
      </c>
      <c r="M35" s="12"/>
      <c r="N35" s="12"/>
    </row>
    <row r="36" spans="2:14" x14ac:dyDescent="0.4">
      <c r="B36" s="2">
        <v>28</v>
      </c>
      <c r="C36" s="2" cm="1">
        <f t="array" ref="C36">ROUND(IF($B36&gt;$C$4,100%,_xlfn.IFS($B36&lt;=$K$2,($K$3-$J$3)/($K$2-$J$2)*(COUNTA($B$9:$B36)-$J$2)+$J$3,$B36&lt;=$L$2,($L$3-$K$3)/($L$2-$K$2)*(COUNTA($B$9:$B36)-$K$2)+$K$3,$B36&lt;=$M$2,($M$3-$L$3)/($M$2-$L$2)*(COUNTA($B$9:$B36)-$L$2)+$L$3,$B36&gt;$M$2,(100%-$M$3)/($C$4-$M$2)*(COUNTA($B$9:$B36)-$M$2)+$M$3))*100,2)</f>
        <v>48</v>
      </c>
      <c r="D36" s="2" cm="1">
        <f t="array" ref="D36">ROUND(IF($B36&gt;$C$4,100%,_xlfn.IFS($B36&lt;=$K$2,($K$3-$J$3)/($K$2-$J$2)*(COUNTA($B$9:$B36)-$J$2)+$J$3,$B36&lt;=$L$2,($L$3-$K$3)/($L$2-$K$2)*(COUNTA($B$9:$B36)-$K$2)+$K$3,$B36&lt;=$M$2,($M$3-$L$3)/($M$2-$L$2)*(COUNTA($B$9:$B36)-$L$2)+$L$3,$B36&gt;$M$2,(100%-$M$3)/($C$4-$M$2)*(COUNTA($B$9:$B36)-$M$2)+$M$3))*100,2)</f>
        <v>48</v>
      </c>
      <c r="E36" s="2" cm="1">
        <f t="array" ref="E36">ROUND(IF($B36&gt;$C$4,100%,_xlfn.IFS($B36&lt;=$K$2,($K$3-$J$3)/($K$2-$J$2)*(COUNTA($B$9:$B36)-$J$2)+$J$3,$B36&lt;=$L$2,($L$3-$K$3)/($L$2-$K$2)*(COUNTA($B$9:$B36)-$K$2)+$K$3,$B36&lt;=$M$2,($M$3-$L$3)/($M$2-$L$2)*(COUNTA($B$9:$B36)-$L$2)+$L$3,$B36&gt;$M$2,(100%-$M$3)/($C$4-$M$2)*(COUNTA($B$9:$B36)-$M$2)+$M$3))*100,2)</f>
        <v>48</v>
      </c>
      <c r="F36" s="12"/>
      <c r="G36" s="12"/>
      <c r="H36" s="12"/>
      <c r="J36" s="2">
        <f>ROUNDUP((($K$5-$J$5)*C36/100)+$J$5,0)</f>
        <v>532</v>
      </c>
      <c r="K36" s="2">
        <f t="shared" si="0"/>
        <v>266</v>
      </c>
      <c r="L36" s="19">
        <f t="shared" si="1"/>
        <v>486</v>
      </c>
      <c r="M36" s="12"/>
      <c r="N36" s="12"/>
    </row>
    <row r="37" spans="2:14" x14ac:dyDescent="0.4">
      <c r="B37" s="2">
        <v>29</v>
      </c>
      <c r="C37" s="2" cm="1">
        <f t="array" ref="C37">ROUND(IF($B37&gt;$C$4,100%,_xlfn.IFS($B37&lt;=$K$2,($K$3-$J$3)/($K$2-$J$2)*(COUNTA($B$9:$B37)-$J$2)+$J$3,$B37&lt;=$L$2,($L$3-$K$3)/($L$2-$K$2)*(COUNTA($B$9:$B37)-$K$2)+$K$3,$B37&lt;=$M$2,($M$3-$L$3)/($M$2-$L$2)*(COUNTA($B$9:$B37)-$L$2)+$L$3,$B37&gt;$M$2,(100%-$M$3)/($C$4-$M$2)*(COUNTA($B$9:$B37)-$M$2)+$M$3))*100,2)</f>
        <v>49</v>
      </c>
      <c r="D37" s="2" cm="1">
        <f t="array" ref="D37">ROUND(IF($B37&gt;$C$4,100%,_xlfn.IFS($B37&lt;=$K$2,($K$3-$J$3)/($K$2-$J$2)*(COUNTA($B$9:$B37)-$J$2)+$J$3,$B37&lt;=$L$2,($L$3-$K$3)/($L$2-$K$2)*(COUNTA($B$9:$B37)-$K$2)+$K$3,$B37&lt;=$M$2,($M$3-$L$3)/($M$2-$L$2)*(COUNTA($B$9:$B37)-$L$2)+$L$3,$B37&gt;$M$2,(100%-$M$3)/($C$4-$M$2)*(COUNTA($B$9:$B37)-$M$2)+$M$3))*100,2)</f>
        <v>49</v>
      </c>
      <c r="E37" s="2" cm="1">
        <f t="array" ref="E37">ROUND(IF($B37&gt;$C$4,100%,_xlfn.IFS($B37&lt;=$K$2,($K$3-$J$3)/($K$2-$J$2)*(COUNTA($B$9:$B37)-$J$2)+$J$3,$B37&lt;=$L$2,($L$3-$K$3)/($L$2-$K$2)*(COUNTA($B$9:$B37)-$K$2)+$K$3,$B37&lt;=$M$2,($M$3-$L$3)/($M$2-$L$2)*(COUNTA($B$9:$B37)-$L$2)+$L$3,$B37&gt;$M$2,(100%-$M$3)/($C$4-$M$2)*(COUNTA($B$9:$B37)-$M$2)+$M$3))*100,2)</f>
        <v>49</v>
      </c>
      <c r="F37" s="12"/>
      <c r="G37" s="12"/>
      <c r="H37" s="12"/>
      <c r="J37" s="2">
        <f>ROUNDUP((($K$5-$J$5)*C37/100)+$J$5,0)</f>
        <v>541</v>
      </c>
      <c r="K37" s="2">
        <f t="shared" si="0"/>
        <v>271</v>
      </c>
      <c r="L37" s="19">
        <f t="shared" si="1"/>
        <v>496</v>
      </c>
      <c r="M37" s="12"/>
      <c r="N37" s="12"/>
    </row>
    <row r="38" spans="2:14" x14ac:dyDescent="0.4">
      <c r="B38" s="2">
        <v>30</v>
      </c>
      <c r="C38" s="2" cm="1">
        <f t="array" ref="C38">ROUND(IF($B38&gt;$C$4,100%,_xlfn.IFS($B38&lt;=$K$2,($K$3-$J$3)/($K$2-$J$2)*(COUNTA($B$9:$B38)-$J$2)+$J$3,$B38&lt;=$L$2,($L$3-$K$3)/($L$2-$K$2)*(COUNTA($B$9:$B38)-$K$2)+$K$3,$B38&lt;=$M$2,($M$3-$L$3)/($M$2-$L$2)*(COUNTA($B$9:$B38)-$L$2)+$L$3,$B38&gt;$M$2,(100%-$M$3)/($C$4-$M$2)*(COUNTA($B$9:$B38)-$M$2)+$M$3))*100,2)</f>
        <v>50</v>
      </c>
      <c r="D38" s="2" cm="1">
        <f t="array" ref="D38">ROUND(IF($B38&gt;$C$4,100%,_xlfn.IFS($B38&lt;=$K$2,($K$3-$J$3)/($K$2-$J$2)*(COUNTA($B$9:$B38)-$J$2)+$J$3,$B38&lt;=$L$2,($L$3-$K$3)/($L$2-$K$2)*(COUNTA($B$9:$B38)-$K$2)+$K$3,$B38&lt;=$M$2,($M$3-$L$3)/($M$2-$L$2)*(COUNTA($B$9:$B38)-$L$2)+$L$3,$B38&gt;$M$2,(100%-$M$3)/($C$4-$M$2)*(COUNTA($B$9:$B38)-$M$2)+$M$3))*100,2)</f>
        <v>50</v>
      </c>
      <c r="E38" s="2" cm="1">
        <f t="array" ref="E38">ROUND(IF($B38&gt;$C$4,100%,_xlfn.IFS($B38&lt;=$K$2,($K$3-$J$3)/($K$2-$J$2)*(COUNTA($B$9:$B38)-$J$2)+$J$3,$B38&lt;=$L$2,($L$3-$K$3)/($L$2-$K$2)*(COUNTA($B$9:$B38)-$K$2)+$K$3,$B38&lt;=$M$2,($M$3-$L$3)/($M$2-$L$2)*(COUNTA($B$9:$B38)-$L$2)+$L$3,$B38&gt;$M$2,(100%-$M$3)/($C$4-$M$2)*(COUNTA($B$9:$B38)-$M$2)+$M$3))*100,2)</f>
        <v>50</v>
      </c>
      <c r="F38" s="12"/>
      <c r="G38" s="12"/>
      <c r="H38" s="12"/>
      <c r="J38" s="2">
        <f>ROUNDUP((($K$5-$J$5)*C38/100)+$J$5,0)</f>
        <v>550</v>
      </c>
      <c r="K38" s="2">
        <f t="shared" si="0"/>
        <v>275</v>
      </c>
      <c r="L38" s="19">
        <f t="shared" si="1"/>
        <v>505</v>
      </c>
      <c r="M38" s="12"/>
      <c r="N38" s="12"/>
    </row>
    <row r="39" spans="2:14" x14ac:dyDescent="0.4">
      <c r="B39" s="8">
        <v>31</v>
      </c>
      <c r="C39" s="2" cm="1">
        <f t="array" ref="C39">ROUND(IF($B39&gt;$C$4,100%,_xlfn.IFS($B39&lt;=$K$2,($K$3-$J$3)/($K$2-$J$2)*(COUNTA($B$9:$B39)-$J$2)+$J$3,$B39&lt;=$L$2,($L$3-$K$3)/($L$2-$K$2)*(COUNTA($B$9:$B39)-$K$2)+$K$3,$B39&lt;=$M$2,($M$3-$L$3)/($M$2-$L$2)*(COUNTA($B$9:$B39)-$L$2)+$L$3,$B39&gt;$M$2,(100%-$M$3)/($C$4-$M$2)*(COUNTA($B$9:$B39)-$M$2)+$M$3))*100,2)</f>
        <v>51</v>
      </c>
      <c r="D39" s="2" cm="1">
        <f t="array" ref="D39">ROUND(IF($B39&gt;$C$4,100%,_xlfn.IFS($B39&lt;=$K$2,($K$3-$J$3)/($K$2-$J$2)*(COUNTA($B$9:$B39)-$J$2)+$J$3,$B39&lt;=$L$2,($L$3-$K$3)/($L$2-$K$2)*(COUNTA($B$9:$B39)-$K$2)+$K$3,$B39&lt;=$M$2,($M$3-$L$3)/($M$2-$L$2)*(COUNTA($B$9:$B39)-$L$2)+$L$3,$B39&gt;$M$2,(100%-$M$3)/($C$4-$M$2)*(COUNTA($B$9:$B39)-$M$2)+$M$3))*100,2)</f>
        <v>51</v>
      </c>
      <c r="E39" s="2" cm="1">
        <f t="array" ref="E39">ROUND(IF($B39&gt;$C$4,100%,_xlfn.IFS($B39&lt;=$K$2,($K$3-$J$3)/($K$2-$J$2)*(COUNTA($B$9:$B39)-$J$2)+$J$3,$B39&lt;=$L$2,($L$3-$K$3)/($L$2-$K$2)*(COUNTA($B$9:$B39)-$K$2)+$K$3,$B39&lt;=$M$2,($M$3-$L$3)/($M$2-$L$2)*(COUNTA($B$9:$B39)-$L$2)+$L$3,$B39&gt;$M$2,(100%-$M$3)/($C$4-$M$2)*(COUNTA($B$9:$B39)-$M$2)+$M$3))*100,2)</f>
        <v>51</v>
      </c>
      <c r="F39" s="12"/>
      <c r="G39" s="12"/>
      <c r="H39" s="12"/>
      <c r="J39" s="2">
        <f>ROUNDUP((($K$5-$J$5)*C39/100)+$J$5,0)</f>
        <v>559</v>
      </c>
      <c r="K39" s="2">
        <f t="shared" si="0"/>
        <v>280</v>
      </c>
      <c r="L39" s="19">
        <f t="shared" si="1"/>
        <v>515</v>
      </c>
      <c r="M39" s="12"/>
      <c r="N39" s="12"/>
    </row>
    <row r="40" spans="2:14" x14ac:dyDescent="0.4">
      <c r="B40" s="2">
        <v>32</v>
      </c>
      <c r="C40" s="2" cm="1">
        <f t="array" ref="C40">ROUND(IF($B40&gt;$C$4,100%,_xlfn.IFS($B40&lt;=$K$2,($K$3-$J$3)/($K$2-$J$2)*(COUNTA($B$9:$B40)-$J$2)+$J$3,$B40&lt;=$L$2,($L$3-$K$3)/($L$2-$K$2)*(COUNTA($B$9:$B40)-$K$2)+$K$3,$B40&lt;=$M$2,($M$3-$L$3)/($M$2-$L$2)*(COUNTA($B$9:$B40)-$L$2)+$L$3,$B40&gt;$M$2,(100%-$M$3)/($C$4-$M$2)*(COUNTA($B$9:$B40)-$M$2)+$M$3))*100,2)</f>
        <v>52</v>
      </c>
      <c r="D40" s="2" cm="1">
        <f t="array" ref="D40">ROUND(IF($B40&gt;$C$4,100%,_xlfn.IFS($B40&lt;=$K$2,($K$3-$J$3)/($K$2-$J$2)*(COUNTA($B$9:$B40)-$J$2)+$J$3,$B40&lt;=$L$2,($L$3-$K$3)/($L$2-$K$2)*(COUNTA($B$9:$B40)-$K$2)+$K$3,$B40&lt;=$M$2,($M$3-$L$3)/($M$2-$L$2)*(COUNTA($B$9:$B40)-$L$2)+$L$3,$B40&gt;$M$2,(100%-$M$3)/($C$4-$M$2)*(COUNTA($B$9:$B40)-$M$2)+$M$3))*100,2)</f>
        <v>52</v>
      </c>
      <c r="E40" s="2" cm="1">
        <f t="array" ref="E40">ROUND(IF($B40&gt;$C$4,100%,_xlfn.IFS($B40&lt;=$K$2,($K$3-$J$3)/($K$2-$J$2)*(COUNTA($B$9:$B40)-$J$2)+$J$3,$B40&lt;=$L$2,($L$3-$K$3)/($L$2-$K$2)*(COUNTA($B$9:$B40)-$K$2)+$K$3,$B40&lt;=$M$2,($M$3-$L$3)/($M$2-$L$2)*(COUNTA($B$9:$B40)-$L$2)+$L$3,$B40&gt;$M$2,(100%-$M$3)/($C$4-$M$2)*(COUNTA($B$9:$B40)-$M$2)+$M$3))*100,2)</f>
        <v>52</v>
      </c>
      <c r="F40" s="12"/>
      <c r="G40" s="12"/>
      <c r="H40" s="12"/>
      <c r="J40" s="2">
        <f>ROUNDUP((($K$5-$J$5)*C40/100)+$J$5,0)</f>
        <v>568</v>
      </c>
      <c r="K40" s="2">
        <f t="shared" si="0"/>
        <v>284</v>
      </c>
      <c r="L40" s="19">
        <f t="shared" si="1"/>
        <v>525</v>
      </c>
      <c r="M40" s="12"/>
      <c r="N40" s="12"/>
    </row>
    <row r="41" spans="2:14" x14ac:dyDescent="0.4">
      <c r="B41" s="2">
        <v>33</v>
      </c>
      <c r="C41" s="2" cm="1">
        <f t="array" ref="C41">ROUND(IF($B41&gt;$C$4,100%,_xlfn.IFS($B41&lt;=$K$2,($K$3-$J$3)/($K$2-$J$2)*(COUNTA($B$9:$B41)-$J$2)+$J$3,$B41&lt;=$L$2,($L$3-$K$3)/($L$2-$K$2)*(COUNTA($B$9:$B41)-$K$2)+$K$3,$B41&lt;=$M$2,($M$3-$L$3)/($M$2-$L$2)*(COUNTA($B$9:$B41)-$L$2)+$L$3,$B41&gt;$M$2,(100%-$M$3)/($C$4-$M$2)*(COUNTA($B$9:$B41)-$M$2)+$M$3))*100,2)</f>
        <v>53</v>
      </c>
      <c r="D41" s="2" cm="1">
        <f t="array" ref="D41">ROUND(IF($B41&gt;$C$4,100%,_xlfn.IFS($B41&lt;=$K$2,($K$3-$J$3)/($K$2-$J$2)*(COUNTA($B$9:$B41)-$J$2)+$J$3,$B41&lt;=$L$2,($L$3-$K$3)/($L$2-$K$2)*(COUNTA($B$9:$B41)-$K$2)+$K$3,$B41&lt;=$M$2,($M$3-$L$3)/($M$2-$L$2)*(COUNTA($B$9:$B41)-$L$2)+$L$3,$B41&gt;$M$2,(100%-$M$3)/($C$4-$M$2)*(COUNTA($B$9:$B41)-$M$2)+$M$3))*100,2)</f>
        <v>53</v>
      </c>
      <c r="E41" s="2" cm="1">
        <f t="array" ref="E41">ROUND(IF($B41&gt;$C$4,100%,_xlfn.IFS($B41&lt;=$K$2,($K$3-$J$3)/($K$2-$J$2)*(COUNTA($B$9:$B41)-$J$2)+$J$3,$B41&lt;=$L$2,($L$3-$K$3)/($L$2-$K$2)*(COUNTA($B$9:$B41)-$K$2)+$K$3,$B41&lt;=$M$2,($M$3-$L$3)/($M$2-$L$2)*(COUNTA($B$9:$B41)-$L$2)+$L$3,$B41&gt;$M$2,(100%-$M$3)/($C$4-$M$2)*(COUNTA($B$9:$B41)-$M$2)+$M$3))*100,2)</f>
        <v>53</v>
      </c>
      <c r="F41" s="12"/>
      <c r="G41" s="12"/>
      <c r="H41" s="12"/>
      <c r="J41" s="2">
        <f>ROUNDUP((($K$5-$J$5)*C41/100)+$J$5,0)</f>
        <v>577</v>
      </c>
      <c r="K41" s="2">
        <f t="shared" si="0"/>
        <v>289</v>
      </c>
      <c r="L41" s="19">
        <f t="shared" si="1"/>
        <v>535</v>
      </c>
      <c r="M41" s="12"/>
      <c r="N41" s="12"/>
    </row>
    <row r="42" spans="2:14" x14ac:dyDescent="0.4">
      <c r="B42" s="2">
        <v>34</v>
      </c>
      <c r="C42" s="2" cm="1">
        <f t="array" ref="C42">ROUND(IF($B42&gt;$C$4,100%,_xlfn.IFS($B42&lt;=$K$2,($K$3-$J$3)/($K$2-$J$2)*(COUNTA($B$9:$B42)-$J$2)+$J$3,$B42&lt;=$L$2,($L$3-$K$3)/($L$2-$K$2)*(COUNTA($B$9:$B42)-$K$2)+$K$3,$B42&lt;=$M$2,($M$3-$L$3)/($M$2-$L$2)*(COUNTA($B$9:$B42)-$L$2)+$L$3,$B42&gt;$M$2,(100%-$M$3)/($C$4-$M$2)*(COUNTA($B$9:$B42)-$M$2)+$M$3))*100,2)</f>
        <v>54</v>
      </c>
      <c r="D42" s="2" cm="1">
        <f t="array" ref="D42">ROUND(IF($B42&gt;$C$4,100%,_xlfn.IFS($B42&lt;=$K$2,($K$3-$J$3)/($K$2-$J$2)*(COUNTA($B$9:$B42)-$J$2)+$J$3,$B42&lt;=$L$2,($L$3-$K$3)/($L$2-$K$2)*(COUNTA($B$9:$B42)-$K$2)+$K$3,$B42&lt;=$M$2,($M$3-$L$3)/($M$2-$L$2)*(COUNTA($B$9:$B42)-$L$2)+$L$3,$B42&gt;$M$2,(100%-$M$3)/($C$4-$M$2)*(COUNTA($B$9:$B42)-$M$2)+$M$3))*100,2)</f>
        <v>54</v>
      </c>
      <c r="E42" s="2" cm="1">
        <f t="array" ref="E42">ROUND(IF($B42&gt;$C$4,100%,_xlfn.IFS($B42&lt;=$K$2,($K$3-$J$3)/($K$2-$J$2)*(COUNTA($B$9:$B42)-$J$2)+$J$3,$B42&lt;=$L$2,($L$3-$K$3)/($L$2-$K$2)*(COUNTA($B$9:$B42)-$K$2)+$K$3,$B42&lt;=$M$2,($M$3-$L$3)/($M$2-$L$2)*(COUNTA($B$9:$B42)-$L$2)+$L$3,$B42&gt;$M$2,(100%-$M$3)/($C$4-$M$2)*(COUNTA($B$9:$B42)-$M$2)+$M$3))*100,2)</f>
        <v>54</v>
      </c>
      <c r="F42" s="12"/>
      <c r="G42" s="12"/>
      <c r="H42" s="12"/>
      <c r="J42" s="2">
        <f>ROUNDUP((($K$5-$J$5)*C42/100)+$J$5,0)</f>
        <v>586</v>
      </c>
      <c r="K42" s="2">
        <f t="shared" si="0"/>
        <v>293</v>
      </c>
      <c r="L42" s="19">
        <f t="shared" si="1"/>
        <v>545</v>
      </c>
      <c r="M42" s="12"/>
      <c r="N42" s="12"/>
    </row>
    <row r="43" spans="2:14" x14ac:dyDescent="0.4">
      <c r="B43" s="2">
        <v>35</v>
      </c>
      <c r="C43" s="2" cm="1">
        <f t="array" ref="C43">ROUND(IF($B43&gt;$C$4,100%,_xlfn.IFS($B43&lt;=$K$2,($K$3-$J$3)/($K$2-$J$2)*(COUNTA($B$9:$B43)-$J$2)+$J$3,$B43&lt;=$L$2,($L$3-$K$3)/($L$2-$K$2)*(COUNTA($B$9:$B43)-$K$2)+$K$3,$B43&lt;=$M$2,($M$3-$L$3)/($M$2-$L$2)*(COUNTA($B$9:$B43)-$L$2)+$L$3,$B43&gt;$M$2,(100%-$M$3)/($C$4-$M$2)*(COUNTA($B$9:$B43)-$M$2)+$M$3))*100,2)</f>
        <v>55</v>
      </c>
      <c r="D43" s="2" cm="1">
        <f t="array" ref="D43">ROUND(IF($B43&gt;$C$4,100%,_xlfn.IFS($B43&lt;=$K$2,($K$3-$J$3)/($K$2-$J$2)*(COUNTA($B$9:$B43)-$J$2)+$J$3,$B43&lt;=$L$2,($L$3-$K$3)/($L$2-$K$2)*(COUNTA($B$9:$B43)-$K$2)+$K$3,$B43&lt;=$M$2,($M$3-$L$3)/($M$2-$L$2)*(COUNTA($B$9:$B43)-$L$2)+$L$3,$B43&gt;$M$2,(100%-$M$3)/($C$4-$M$2)*(COUNTA($B$9:$B43)-$M$2)+$M$3))*100,2)</f>
        <v>55</v>
      </c>
      <c r="E43" s="2" cm="1">
        <f t="array" ref="E43">ROUND(IF($B43&gt;$C$4,100%,_xlfn.IFS($B43&lt;=$K$2,($K$3-$J$3)/($K$2-$J$2)*(COUNTA($B$9:$B43)-$J$2)+$J$3,$B43&lt;=$L$2,($L$3-$K$3)/($L$2-$K$2)*(COUNTA($B$9:$B43)-$K$2)+$K$3,$B43&lt;=$M$2,($M$3-$L$3)/($M$2-$L$2)*(COUNTA($B$9:$B43)-$L$2)+$L$3,$B43&gt;$M$2,(100%-$M$3)/($C$4-$M$2)*(COUNTA($B$9:$B43)-$M$2)+$M$3))*100,2)</f>
        <v>55</v>
      </c>
      <c r="F43" s="12"/>
      <c r="G43" s="12"/>
      <c r="H43" s="12"/>
      <c r="J43" s="2">
        <f>ROUNDUP((($K$5-$J$5)*C43/100)+$J$5,0)</f>
        <v>595</v>
      </c>
      <c r="K43" s="2">
        <f t="shared" si="0"/>
        <v>298</v>
      </c>
      <c r="L43" s="19">
        <f t="shared" si="1"/>
        <v>555</v>
      </c>
      <c r="M43" s="12"/>
      <c r="N43" s="12"/>
    </row>
    <row r="44" spans="2:14" x14ac:dyDescent="0.4">
      <c r="B44" s="2">
        <v>36</v>
      </c>
      <c r="C44" s="2" cm="1">
        <f t="array" ref="C44">ROUND(IF($B44&gt;$C$4,100%,_xlfn.IFS($B44&lt;=$K$2,($K$3-$J$3)/($K$2-$J$2)*(COUNTA($B$9:$B44)-$J$2)+$J$3,$B44&lt;=$L$2,($L$3-$K$3)/($L$2-$K$2)*(COUNTA($B$9:$B44)-$K$2)+$K$3,$B44&lt;=$M$2,($M$3-$L$3)/($M$2-$L$2)*(COUNTA($B$9:$B44)-$L$2)+$L$3,$B44&gt;$M$2,(100%-$M$3)/($C$4-$M$2)*(COUNTA($B$9:$B44)-$M$2)+$M$3))*100,2)</f>
        <v>56</v>
      </c>
      <c r="D44" s="2" cm="1">
        <f t="array" ref="D44">ROUND(IF($B44&gt;$C$4,100%,_xlfn.IFS($B44&lt;=$K$2,($K$3-$J$3)/($K$2-$J$2)*(COUNTA($B$9:$B44)-$J$2)+$J$3,$B44&lt;=$L$2,($L$3-$K$3)/($L$2-$K$2)*(COUNTA($B$9:$B44)-$K$2)+$K$3,$B44&lt;=$M$2,($M$3-$L$3)/($M$2-$L$2)*(COUNTA($B$9:$B44)-$L$2)+$L$3,$B44&gt;$M$2,(100%-$M$3)/($C$4-$M$2)*(COUNTA($B$9:$B44)-$M$2)+$M$3))*100,2)</f>
        <v>56</v>
      </c>
      <c r="E44" s="2" cm="1">
        <f t="array" ref="E44">ROUND(IF($B44&gt;$C$4,100%,_xlfn.IFS($B44&lt;=$K$2,($K$3-$J$3)/($K$2-$J$2)*(COUNTA($B$9:$B44)-$J$2)+$J$3,$B44&lt;=$L$2,($L$3-$K$3)/($L$2-$K$2)*(COUNTA($B$9:$B44)-$K$2)+$K$3,$B44&lt;=$M$2,($M$3-$L$3)/($M$2-$L$2)*(COUNTA($B$9:$B44)-$L$2)+$L$3,$B44&gt;$M$2,(100%-$M$3)/($C$4-$M$2)*(COUNTA($B$9:$B44)-$M$2)+$M$3))*100,2)</f>
        <v>56</v>
      </c>
      <c r="F44" s="12"/>
      <c r="G44" s="12"/>
      <c r="H44" s="12"/>
      <c r="J44" s="2">
        <f>ROUNDUP((($K$5-$J$5)*C44/100)+$J$5,0)</f>
        <v>604</v>
      </c>
      <c r="K44" s="2">
        <f t="shared" si="0"/>
        <v>302</v>
      </c>
      <c r="L44" s="19">
        <f t="shared" si="1"/>
        <v>565</v>
      </c>
      <c r="M44" s="12"/>
      <c r="N44" s="12"/>
    </row>
    <row r="45" spans="2:14" x14ac:dyDescent="0.4">
      <c r="B45" s="2">
        <v>37</v>
      </c>
      <c r="C45" s="2" cm="1">
        <f t="array" ref="C45">ROUND(IF($B45&gt;$C$4,100%,_xlfn.IFS($B45&lt;=$K$2,($K$3-$J$3)/($K$2-$J$2)*(COUNTA($B$9:$B45)-$J$2)+$J$3,$B45&lt;=$L$2,($L$3-$K$3)/($L$2-$K$2)*(COUNTA($B$9:$B45)-$K$2)+$K$3,$B45&lt;=$M$2,($M$3-$L$3)/($M$2-$L$2)*(COUNTA($B$9:$B45)-$L$2)+$L$3,$B45&gt;$M$2,(100%-$M$3)/($C$4-$M$2)*(COUNTA($B$9:$B45)-$M$2)+$M$3))*100,2)</f>
        <v>57</v>
      </c>
      <c r="D45" s="2" cm="1">
        <f t="array" ref="D45">ROUND(IF($B45&gt;$C$4,100%,_xlfn.IFS($B45&lt;=$K$2,($K$3-$J$3)/($K$2-$J$2)*(COUNTA($B$9:$B45)-$J$2)+$J$3,$B45&lt;=$L$2,($L$3-$K$3)/($L$2-$K$2)*(COUNTA($B$9:$B45)-$K$2)+$K$3,$B45&lt;=$M$2,($M$3-$L$3)/($M$2-$L$2)*(COUNTA($B$9:$B45)-$L$2)+$L$3,$B45&gt;$M$2,(100%-$M$3)/($C$4-$M$2)*(COUNTA($B$9:$B45)-$M$2)+$M$3))*100,2)</f>
        <v>57</v>
      </c>
      <c r="E45" s="2" cm="1">
        <f t="array" ref="E45">ROUND(IF($B45&gt;$C$4,100%,_xlfn.IFS($B45&lt;=$K$2,($K$3-$J$3)/($K$2-$J$2)*(COUNTA($B$9:$B45)-$J$2)+$J$3,$B45&lt;=$L$2,($L$3-$K$3)/($L$2-$K$2)*(COUNTA($B$9:$B45)-$K$2)+$K$3,$B45&lt;=$M$2,($M$3-$L$3)/($M$2-$L$2)*(COUNTA($B$9:$B45)-$L$2)+$L$3,$B45&gt;$M$2,(100%-$M$3)/($C$4-$M$2)*(COUNTA($B$9:$B45)-$M$2)+$M$3))*100,2)</f>
        <v>57</v>
      </c>
      <c r="F45" s="12"/>
      <c r="G45" s="12"/>
      <c r="H45" s="12"/>
      <c r="J45" s="2">
        <f>ROUNDUP((($K$5-$J$5)*C45/100)+$J$5,0)</f>
        <v>613</v>
      </c>
      <c r="K45" s="2">
        <f t="shared" si="0"/>
        <v>307</v>
      </c>
      <c r="L45" s="19">
        <f t="shared" si="1"/>
        <v>575</v>
      </c>
      <c r="M45" s="12"/>
      <c r="N45" s="12"/>
    </row>
    <row r="46" spans="2:14" x14ac:dyDescent="0.4">
      <c r="B46" s="2">
        <v>38</v>
      </c>
      <c r="C46" s="2" cm="1">
        <f t="array" ref="C46">ROUND(IF($B46&gt;$C$4,100%,_xlfn.IFS($B46&lt;=$K$2,($K$3-$J$3)/($K$2-$J$2)*(COUNTA($B$9:$B46)-$J$2)+$J$3,$B46&lt;=$L$2,($L$3-$K$3)/($L$2-$K$2)*(COUNTA($B$9:$B46)-$K$2)+$K$3,$B46&lt;=$M$2,($M$3-$L$3)/($M$2-$L$2)*(COUNTA($B$9:$B46)-$L$2)+$L$3,$B46&gt;$M$2,(100%-$M$3)/($C$4-$M$2)*(COUNTA($B$9:$B46)-$M$2)+$M$3))*100,2)</f>
        <v>58</v>
      </c>
      <c r="D46" s="2" cm="1">
        <f t="array" ref="D46">ROUND(IF($B46&gt;$C$4,100%,_xlfn.IFS($B46&lt;=$K$2,($K$3-$J$3)/($K$2-$J$2)*(COUNTA($B$9:$B46)-$J$2)+$J$3,$B46&lt;=$L$2,($L$3-$K$3)/($L$2-$K$2)*(COUNTA($B$9:$B46)-$K$2)+$K$3,$B46&lt;=$M$2,($M$3-$L$3)/($M$2-$L$2)*(COUNTA($B$9:$B46)-$L$2)+$L$3,$B46&gt;$M$2,(100%-$M$3)/($C$4-$M$2)*(COUNTA($B$9:$B46)-$M$2)+$M$3))*100,2)</f>
        <v>58</v>
      </c>
      <c r="E46" s="2" cm="1">
        <f t="array" ref="E46">ROUND(IF($B46&gt;$C$4,100%,_xlfn.IFS($B46&lt;=$K$2,($K$3-$J$3)/($K$2-$J$2)*(COUNTA($B$9:$B46)-$J$2)+$J$3,$B46&lt;=$L$2,($L$3-$K$3)/($L$2-$K$2)*(COUNTA($B$9:$B46)-$K$2)+$K$3,$B46&lt;=$M$2,($M$3-$L$3)/($M$2-$L$2)*(COUNTA($B$9:$B46)-$L$2)+$L$3,$B46&gt;$M$2,(100%-$M$3)/($C$4-$M$2)*(COUNTA($B$9:$B46)-$M$2)+$M$3))*100,2)</f>
        <v>58</v>
      </c>
      <c r="F46" s="12"/>
      <c r="G46" s="12"/>
      <c r="H46" s="12"/>
      <c r="J46" s="2">
        <f>ROUNDUP((($K$5-$J$5)*C46/100)+$J$5,0)</f>
        <v>622</v>
      </c>
      <c r="K46" s="2">
        <f t="shared" si="0"/>
        <v>311</v>
      </c>
      <c r="L46" s="19">
        <f t="shared" si="1"/>
        <v>585</v>
      </c>
      <c r="M46" s="12"/>
      <c r="N46" s="12"/>
    </row>
    <row r="47" spans="2:14" x14ac:dyDescent="0.4">
      <c r="B47" s="2">
        <v>39</v>
      </c>
      <c r="C47" s="2" cm="1">
        <f t="array" ref="C47">ROUND(IF($B47&gt;$C$4,100%,_xlfn.IFS($B47&lt;=$K$2,($K$3-$J$3)/($K$2-$J$2)*(COUNTA($B$9:$B47)-$J$2)+$J$3,$B47&lt;=$L$2,($L$3-$K$3)/($L$2-$K$2)*(COUNTA($B$9:$B47)-$K$2)+$K$3,$B47&lt;=$M$2,($M$3-$L$3)/($M$2-$L$2)*(COUNTA($B$9:$B47)-$L$2)+$L$3,$B47&gt;$M$2,(100%-$M$3)/($C$4-$M$2)*(COUNTA($B$9:$B47)-$M$2)+$M$3))*100,2)</f>
        <v>59</v>
      </c>
      <c r="D47" s="2" cm="1">
        <f t="array" ref="D47">ROUND(IF($B47&gt;$C$4,100%,_xlfn.IFS($B47&lt;=$K$2,($K$3-$J$3)/($K$2-$J$2)*(COUNTA($B$9:$B47)-$J$2)+$J$3,$B47&lt;=$L$2,($L$3-$K$3)/($L$2-$K$2)*(COUNTA($B$9:$B47)-$K$2)+$K$3,$B47&lt;=$M$2,($M$3-$L$3)/($M$2-$L$2)*(COUNTA($B$9:$B47)-$L$2)+$L$3,$B47&gt;$M$2,(100%-$M$3)/($C$4-$M$2)*(COUNTA($B$9:$B47)-$M$2)+$M$3))*100,2)</f>
        <v>59</v>
      </c>
      <c r="E47" s="2" cm="1">
        <f t="array" ref="E47">ROUND(IF($B47&gt;$C$4,100%,_xlfn.IFS($B47&lt;=$K$2,($K$3-$J$3)/($K$2-$J$2)*(COUNTA($B$9:$B47)-$J$2)+$J$3,$B47&lt;=$L$2,($L$3-$K$3)/($L$2-$K$2)*(COUNTA($B$9:$B47)-$K$2)+$K$3,$B47&lt;=$M$2,($M$3-$L$3)/($M$2-$L$2)*(COUNTA($B$9:$B47)-$L$2)+$L$3,$B47&gt;$M$2,(100%-$M$3)/($C$4-$M$2)*(COUNTA($B$9:$B47)-$M$2)+$M$3))*100,2)</f>
        <v>59</v>
      </c>
      <c r="F47" s="12"/>
      <c r="G47" s="12"/>
      <c r="H47" s="12"/>
      <c r="J47" s="2">
        <f>ROUNDUP((($K$5-$J$5)*C47/100)+$J$5,0)</f>
        <v>631</v>
      </c>
      <c r="K47" s="2">
        <f t="shared" si="0"/>
        <v>316</v>
      </c>
      <c r="L47" s="19">
        <f t="shared" si="1"/>
        <v>595</v>
      </c>
      <c r="M47" s="12"/>
      <c r="N47" s="12"/>
    </row>
    <row r="48" spans="2:14" x14ac:dyDescent="0.4">
      <c r="B48" s="2">
        <v>40</v>
      </c>
      <c r="C48" s="2" cm="1">
        <f t="array" ref="C48">ROUND(IF($B48&gt;$C$4,100%,_xlfn.IFS($B48&lt;=$K$2,($K$3-$J$3)/($K$2-$J$2)*(COUNTA($B$9:$B48)-$J$2)+$J$3,$B48&lt;=$L$2,($L$3-$K$3)/($L$2-$K$2)*(COUNTA($B$9:$B48)-$K$2)+$K$3,$B48&lt;=$M$2,($M$3-$L$3)/($M$2-$L$2)*(COUNTA($B$9:$B48)-$L$2)+$L$3,$B48&gt;$M$2,(100%-$M$3)/($C$4-$M$2)*(COUNTA($B$9:$B48)-$M$2)+$M$3))*100,2)</f>
        <v>60</v>
      </c>
      <c r="D48" s="2" cm="1">
        <f t="array" ref="D48">ROUND(IF($B48&gt;$C$4,100%,_xlfn.IFS($B48&lt;=$K$2,($K$3-$J$3)/($K$2-$J$2)*(COUNTA($B$9:$B48)-$J$2)+$J$3,$B48&lt;=$L$2,($L$3-$K$3)/($L$2-$K$2)*(COUNTA($B$9:$B48)-$K$2)+$K$3,$B48&lt;=$M$2,($M$3-$L$3)/($M$2-$L$2)*(COUNTA($B$9:$B48)-$L$2)+$L$3,$B48&gt;$M$2,(100%-$M$3)/($C$4-$M$2)*(COUNTA($B$9:$B48)-$M$2)+$M$3))*100,2)</f>
        <v>60</v>
      </c>
      <c r="E48" s="2" cm="1">
        <f t="array" ref="E48">ROUND(IF($B48&gt;$C$4,100%,_xlfn.IFS($B48&lt;=$K$2,($K$3-$J$3)/($K$2-$J$2)*(COUNTA($B$9:$B48)-$J$2)+$J$3,$B48&lt;=$L$2,($L$3-$K$3)/($L$2-$K$2)*(COUNTA($B$9:$B48)-$K$2)+$K$3,$B48&lt;=$M$2,($M$3-$L$3)/($M$2-$L$2)*(COUNTA($B$9:$B48)-$L$2)+$L$3,$B48&gt;$M$2,(100%-$M$3)/($C$4-$M$2)*(COUNTA($B$9:$B48)-$M$2)+$M$3))*100,2)</f>
        <v>60</v>
      </c>
      <c r="F48" s="12"/>
      <c r="G48" s="12"/>
      <c r="H48" s="12"/>
      <c r="J48" s="2">
        <f>ROUNDUP((($K$5-$J$5)*C48/100)+$J$5,0)</f>
        <v>640</v>
      </c>
      <c r="K48" s="2">
        <f t="shared" si="0"/>
        <v>320</v>
      </c>
      <c r="L48" s="19">
        <f t="shared" si="1"/>
        <v>604</v>
      </c>
      <c r="M48" s="12"/>
      <c r="N48" s="12"/>
    </row>
    <row r="49" spans="2:14" x14ac:dyDescent="0.4">
      <c r="B49" s="2">
        <v>41</v>
      </c>
      <c r="C49" s="2" cm="1">
        <f t="array" ref="C49">ROUND(IF($B49&gt;$C$4,100%,_xlfn.IFS($B49&lt;=$K$2,($K$3-$J$3)/($K$2-$J$2)*(COUNTA($B$9:$B49)-$J$2)+$J$3,$B49&lt;=$L$2,($L$3-$K$3)/($L$2-$K$2)*(COUNTA($B$9:$B49)-$K$2)+$K$3,$B49&lt;=$M$2,($M$3-$L$3)/($M$2-$L$2)*(COUNTA($B$9:$B49)-$L$2)+$L$3,$B49&gt;$M$2,(100%-$M$3)/($C$4-$M$2)*(COUNTA($B$9:$B49)-$M$2)+$M$3))*100,2)</f>
        <v>61</v>
      </c>
      <c r="D49" s="2" cm="1">
        <f t="array" ref="D49">ROUND(IF($B49&gt;$C$4,100%,_xlfn.IFS($B49&lt;=$K$2,($K$3-$J$3)/($K$2-$J$2)*(COUNTA($B$9:$B49)-$J$2)+$J$3,$B49&lt;=$L$2,($L$3-$K$3)/($L$2-$K$2)*(COUNTA($B$9:$B49)-$K$2)+$K$3,$B49&lt;=$M$2,($M$3-$L$3)/($M$2-$L$2)*(COUNTA($B$9:$B49)-$L$2)+$L$3,$B49&gt;$M$2,(100%-$M$3)/($C$4-$M$2)*(COUNTA($B$9:$B49)-$M$2)+$M$3))*100,2)</f>
        <v>61</v>
      </c>
      <c r="E49" s="2" cm="1">
        <f t="array" ref="E49">ROUND(IF($B49&gt;$C$4,100%,_xlfn.IFS($B49&lt;=$K$2,($K$3-$J$3)/($K$2-$J$2)*(COUNTA($B$9:$B49)-$J$2)+$J$3,$B49&lt;=$L$2,($L$3-$K$3)/($L$2-$K$2)*(COUNTA($B$9:$B49)-$K$2)+$K$3,$B49&lt;=$M$2,($M$3-$L$3)/($M$2-$L$2)*(COUNTA($B$9:$B49)-$L$2)+$L$3,$B49&gt;$M$2,(100%-$M$3)/($C$4-$M$2)*(COUNTA($B$9:$B49)-$M$2)+$M$3))*100,2)</f>
        <v>61</v>
      </c>
      <c r="F49" s="12"/>
      <c r="G49" s="12"/>
      <c r="H49" s="12"/>
      <c r="J49" s="2">
        <f>ROUNDUP((($K$5-$J$5)*C49/100)+$J$5,0)</f>
        <v>649</v>
      </c>
      <c r="K49" s="2">
        <f t="shared" si="0"/>
        <v>325</v>
      </c>
      <c r="L49" s="19">
        <f t="shared" si="1"/>
        <v>614</v>
      </c>
      <c r="M49" s="12"/>
      <c r="N49" s="12"/>
    </row>
    <row r="50" spans="2:14" x14ac:dyDescent="0.4">
      <c r="B50" s="2">
        <v>42</v>
      </c>
      <c r="C50" s="2" cm="1">
        <f t="array" ref="C50">ROUND(IF($B50&gt;$C$4,100%,_xlfn.IFS($B50&lt;=$K$2,($K$3-$J$3)/($K$2-$J$2)*(COUNTA($B$9:$B50)-$J$2)+$J$3,$B50&lt;=$L$2,($L$3-$K$3)/($L$2-$K$2)*(COUNTA($B$9:$B50)-$K$2)+$K$3,$B50&lt;=$M$2,($M$3-$L$3)/($M$2-$L$2)*(COUNTA($B$9:$B50)-$L$2)+$L$3,$B50&gt;$M$2,(100%-$M$3)/($C$4-$M$2)*(COUNTA($B$9:$B50)-$M$2)+$M$3))*100,2)</f>
        <v>62</v>
      </c>
      <c r="D50" s="2" cm="1">
        <f t="array" ref="D50">ROUND(IF($B50&gt;$C$4,100%,_xlfn.IFS($B50&lt;=$K$2,($K$3-$J$3)/($K$2-$J$2)*(COUNTA($B$9:$B50)-$J$2)+$J$3,$B50&lt;=$L$2,($L$3-$K$3)/($L$2-$K$2)*(COUNTA($B$9:$B50)-$K$2)+$K$3,$B50&lt;=$M$2,($M$3-$L$3)/($M$2-$L$2)*(COUNTA($B$9:$B50)-$L$2)+$L$3,$B50&gt;$M$2,(100%-$M$3)/($C$4-$M$2)*(COUNTA($B$9:$B50)-$M$2)+$M$3))*100,2)</f>
        <v>62</v>
      </c>
      <c r="E50" s="2" cm="1">
        <f t="array" ref="E50">ROUND(IF($B50&gt;$C$4,100%,_xlfn.IFS($B50&lt;=$K$2,($K$3-$J$3)/($K$2-$J$2)*(COUNTA($B$9:$B50)-$J$2)+$J$3,$B50&lt;=$L$2,($L$3-$K$3)/($L$2-$K$2)*(COUNTA($B$9:$B50)-$K$2)+$K$3,$B50&lt;=$M$2,($M$3-$L$3)/($M$2-$L$2)*(COUNTA($B$9:$B50)-$L$2)+$L$3,$B50&gt;$M$2,(100%-$M$3)/($C$4-$M$2)*(COUNTA($B$9:$B50)-$M$2)+$M$3))*100,2)</f>
        <v>62</v>
      </c>
      <c r="F50" s="12"/>
      <c r="G50" s="12"/>
      <c r="H50" s="12"/>
      <c r="J50" s="2">
        <f>ROUNDUP((($K$5-$J$5)*C50/100)+$J$5,0)</f>
        <v>658</v>
      </c>
      <c r="K50" s="2">
        <f t="shared" si="0"/>
        <v>329</v>
      </c>
      <c r="L50" s="19">
        <f t="shared" si="1"/>
        <v>624</v>
      </c>
      <c r="M50" s="12"/>
      <c r="N50" s="12"/>
    </row>
    <row r="51" spans="2:14" x14ac:dyDescent="0.4">
      <c r="B51" s="2">
        <v>43</v>
      </c>
      <c r="C51" s="2" cm="1">
        <f t="array" ref="C51">ROUND(IF($B51&gt;$C$4,100%,_xlfn.IFS($B51&lt;=$K$2,($K$3-$J$3)/($K$2-$J$2)*(COUNTA($B$9:$B51)-$J$2)+$J$3,$B51&lt;=$L$2,($L$3-$K$3)/($L$2-$K$2)*(COUNTA($B$9:$B51)-$K$2)+$K$3,$B51&lt;=$M$2,($M$3-$L$3)/($M$2-$L$2)*(COUNTA($B$9:$B51)-$L$2)+$L$3,$B51&gt;$M$2,(100%-$M$3)/($C$4-$M$2)*(COUNTA($B$9:$B51)-$M$2)+$M$3))*100,2)</f>
        <v>63</v>
      </c>
      <c r="D51" s="2" cm="1">
        <f t="array" ref="D51">ROUND(IF($B51&gt;$C$4,100%,_xlfn.IFS($B51&lt;=$K$2,($K$3-$J$3)/($K$2-$J$2)*(COUNTA($B$9:$B51)-$J$2)+$J$3,$B51&lt;=$L$2,($L$3-$K$3)/($L$2-$K$2)*(COUNTA($B$9:$B51)-$K$2)+$K$3,$B51&lt;=$M$2,($M$3-$L$3)/($M$2-$L$2)*(COUNTA($B$9:$B51)-$L$2)+$L$3,$B51&gt;$M$2,(100%-$M$3)/($C$4-$M$2)*(COUNTA($B$9:$B51)-$M$2)+$M$3))*100,2)</f>
        <v>63</v>
      </c>
      <c r="E51" s="2" cm="1">
        <f t="array" ref="E51">ROUND(IF($B51&gt;$C$4,100%,_xlfn.IFS($B51&lt;=$K$2,($K$3-$J$3)/($K$2-$J$2)*(COUNTA($B$9:$B51)-$J$2)+$J$3,$B51&lt;=$L$2,($L$3-$K$3)/($L$2-$K$2)*(COUNTA($B$9:$B51)-$K$2)+$K$3,$B51&lt;=$M$2,($M$3-$L$3)/($M$2-$L$2)*(COUNTA($B$9:$B51)-$L$2)+$L$3,$B51&gt;$M$2,(100%-$M$3)/($C$4-$M$2)*(COUNTA($B$9:$B51)-$M$2)+$M$3))*100,2)</f>
        <v>63</v>
      </c>
      <c r="F51" s="12"/>
      <c r="G51" s="12"/>
      <c r="H51" s="12"/>
      <c r="J51" s="2">
        <f>ROUNDUP((($K$5-$J$5)*C51/100)+$J$5,0)</f>
        <v>667</v>
      </c>
      <c r="K51" s="2">
        <f t="shared" si="0"/>
        <v>334</v>
      </c>
      <c r="L51" s="19">
        <f t="shared" si="1"/>
        <v>634</v>
      </c>
      <c r="M51" s="12"/>
      <c r="N51" s="12"/>
    </row>
    <row r="52" spans="2:14" x14ac:dyDescent="0.4">
      <c r="B52" s="2">
        <v>44</v>
      </c>
      <c r="C52" s="2" cm="1">
        <f t="array" ref="C52">ROUND(IF($B52&gt;$C$4,100%,_xlfn.IFS($B52&lt;=$K$2,($K$3-$J$3)/($K$2-$J$2)*(COUNTA($B$9:$B52)-$J$2)+$J$3,$B52&lt;=$L$2,($L$3-$K$3)/($L$2-$K$2)*(COUNTA($B$9:$B52)-$K$2)+$K$3,$B52&lt;=$M$2,($M$3-$L$3)/($M$2-$L$2)*(COUNTA($B$9:$B52)-$L$2)+$L$3,$B52&gt;$M$2,(100%-$M$3)/($C$4-$M$2)*(COUNTA($B$9:$B52)-$M$2)+$M$3))*100,2)</f>
        <v>64</v>
      </c>
      <c r="D52" s="2" cm="1">
        <f t="array" ref="D52">ROUND(IF($B52&gt;$C$4,100%,_xlfn.IFS($B52&lt;=$K$2,($K$3-$J$3)/($K$2-$J$2)*(COUNTA($B$9:$B52)-$J$2)+$J$3,$B52&lt;=$L$2,($L$3-$K$3)/($L$2-$K$2)*(COUNTA($B$9:$B52)-$K$2)+$K$3,$B52&lt;=$M$2,($M$3-$L$3)/($M$2-$L$2)*(COUNTA($B$9:$B52)-$L$2)+$L$3,$B52&gt;$M$2,(100%-$M$3)/($C$4-$M$2)*(COUNTA($B$9:$B52)-$M$2)+$M$3))*100,2)</f>
        <v>64</v>
      </c>
      <c r="E52" s="2" cm="1">
        <f t="array" ref="E52">ROUND(IF($B52&gt;$C$4,100%,_xlfn.IFS($B52&lt;=$K$2,($K$3-$J$3)/($K$2-$J$2)*(COUNTA($B$9:$B52)-$J$2)+$J$3,$B52&lt;=$L$2,($L$3-$K$3)/($L$2-$K$2)*(COUNTA($B$9:$B52)-$K$2)+$K$3,$B52&lt;=$M$2,($M$3-$L$3)/($M$2-$L$2)*(COUNTA($B$9:$B52)-$L$2)+$L$3,$B52&gt;$M$2,(100%-$M$3)/($C$4-$M$2)*(COUNTA($B$9:$B52)-$M$2)+$M$3))*100,2)</f>
        <v>64</v>
      </c>
      <c r="F52" s="12"/>
      <c r="G52" s="12"/>
      <c r="H52" s="12"/>
      <c r="J52" s="2">
        <f>ROUNDUP((($K$5-$J$5)*C52/100)+$J$5,0)</f>
        <v>676</v>
      </c>
      <c r="K52" s="2">
        <f t="shared" si="0"/>
        <v>338</v>
      </c>
      <c r="L52" s="19">
        <f t="shared" si="1"/>
        <v>644</v>
      </c>
      <c r="M52" s="12"/>
      <c r="N52" s="12"/>
    </row>
    <row r="53" spans="2:14" x14ac:dyDescent="0.4">
      <c r="B53" s="2">
        <v>45</v>
      </c>
      <c r="C53" s="2" cm="1">
        <f t="array" ref="C53">ROUND(IF($B53&gt;$C$4,100%,_xlfn.IFS($B53&lt;=$K$2,($K$3-$J$3)/($K$2-$J$2)*(COUNTA($B$9:$B53)-$J$2)+$J$3,$B53&lt;=$L$2,($L$3-$K$3)/($L$2-$K$2)*(COUNTA($B$9:$B53)-$K$2)+$K$3,$B53&lt;=$M$2,($M$3-$L$3)/($M$2-$L$2)*(COUNTA($B$9:$B53)-$L$2)+$L$3,$B53&gt;$M$2,(100%-$M$3)/($C$4-$M$2)*(COUNTA($B$9:$B53)-$M$2)+$M$3))*100,2)</f>
        <v>65</v>
      </c>
      <c r="D53" s="2" cm="1">
        <f t="array" ref="D53">ROUND(IF($B53&gt;$C$4,100%,_xlfn.IFS($B53&lt;=$K$2,($K$3-$J$3)/($K$2-$J$2)*(COUNTA($B$9:$B53)-$J$2)+$J$3,$B53&lt;=$L$2,($L$3-$K$3)/($L$2-$K$2)*(COUNTA($B$9:$B53)-$K$2)+$K$3,$B53&lt;=$M$2,($M$3-$L$3)/($M$2-$L$2)*(COUNTA($B$9:$B53)-$L$2)+$L$3,$B53&gt;$M$2,(100%-$M$3)/($C$4-$M$2)*(COUNTA($B$9:$B53)-$M$2)+$M$3))*100,2)</f>
        <v>65</v>
      </c>
      <c r="E53" s="2" cm="1">
        <f t="array" ref="E53">ROUND(IF($B53&gt;$C$4,100%,_xlfn.IFS($B53&lt;=$K$2,($K$3-$J$3)/($K$2-$J$2)*(COUNTA($B$9:$B53)-$J$2)+$J$3,$B53&lt;=$L$2,($L$3-$K$3)/($L$2-$K$2)*(COUNTA($B$9:$B53)-$K$2)+$K$3,$B53&lt;=$M$2,($M$3-$L$3)/($M$2-$L$2)*(COUNTA($B$9:$B53)-$L$2)+$L$3,$B53&gt;$M$2,(100%-$M$3)/($C$4-$M$2)*(COUNTA($B$9:$B53)-$M$2)+$M$3))*100,2)</f>
        <v>65</v>
      </c>
      <c r="F53" s="12"/>
      <c r="G53" s="12"/>
      <c r="H53" s="12"/>
      <c r="J53" s="2">
        <f>ROUNDUP((($K$5-$J$5)*C53/100)+$J$5,0)</f>
        <v>685</v>
      </c>
      <c r="K53" s="2">
        <f t="shared" si="0"/>
        <v>343</v>
      </c>
      <c r="L53" s="19">
        <f t="shared" si="1"/>
        <v>654</v>
      </c>
      <c r="M53" s="12"/>
      <c r="N53" s="12"/>
    </row>
    <row r="54" spans="2:14" x14ac:dyDescent="0.4">
      <c r="B54" s="2">
        <v>46</v>
      </c>
      <c r="C54" s="2" cm="1">
        <f t="array" ref="C54">ROUND(IF($B54&gt;$C$4,100%,_xlfn.IFS($B54&lt;=$K$2,($K$3-$J$3)/($K$2-$J$2)*(COUNTA($B$9:$B54)-$J$2)+$J$3,$B54&lt;=$L$2,($L$3-$K$3)/($L$2-$K$2)*(COUNTA($B$9:$B54)-$K$2)+$K$3,$B54&lt;=$M$2,($M$3-$L$3)/($M$2-$L$2)*(COUNTA($B$9:$B54)-$L$2)+$L$3,$B54&gt;$M$2,(100%-$M$3)/($C$4-$M$2)*(COUNTA($B$9:$B54)-$M$2)+$M$3))*100,2)</f>
        <v>66</v>
      </c>
      <c r="D54" s="2" cm="1">
        <f t="array" ref="D54">ROUND(IF($B54&gt;$C$4,100%,_xlfn.IFS($B54&lt;=$K$2,($K$3-$J$3)/($K$2-$J$2)*(COUNTA($B$9:$B54)-$J$2)+$J$3,$B54&lt;=$L$2,($L$3-$K$3)/($L$2-$K$2)*(COUNTA($B$9:$B54)-$K$2)+$K$3,$B54&lt;=$M$2,($M$3-$L$3)/($M$2-$L$2)*(COUNTA($B$9:$B54)-$L$2)+$L$3,$B54&gt;$M$2,(100%-$M$3)/($C$4-$M$2)*(COUNTA($B$9:$B54)-$M$2)+$M$3))*100,2)</f>
        <v>66</v>
      </c>
      <c r="E54" s="2" cm="1">
        <f t="array" ref="E54">ROUND(IF($B54&gt;$C$4,100%,_xlfn.IFS($B54&lt;=$K$2,($K$3-$J$3)/($K$2-$J$2)*(COUNTA($B$9:$B54)-$J$2)+$J$3,$B54&lt;=$L$2,($L$3-$K$3)/($L$2-$K$2)*(COUNTA($B$9:$B54)-$K$2)+$K$3,$B54&lt;=$M$2,($M$3-$L$3)/($M$2-$L$2)*(COUNTA($B$9:$B54)-$L$2)+$L$3,$B54&gt;$M$2,(100%-$M$3)/($C$4-$M$2)*(COUNTA($B$9:$B54)-$M$2)+$M$3))*100,2)</f>
        <v>66</v>
      </c>
      <c r="F54" s="12"/>
      <c r="G54" s="12"/>
      <c r="H54" s="12"/>
      <c r="J54" s="2">
        <f>ROUNDUP((($K$5-$J$5)*C54/100)+$J$5,0)</f>
        <v>694</v>
      </c>
      <c r="K54" s="2">
        <f t="shared" si="0"/>
        <v>347</v>
      </c>
      <c r="L54" s="19">
        <f t="shared" si="1"/>
        <v>664</v>
      </c>
      <c r="M54" s="12"/>
      <c r="N54" s="12"/>
    </row>
    <row r="55" spans="2:14" x14ac:dyDescent="0.4">
      <c r="B55" s="2">
        <v>47</v>
      </c>
      <c r="C55" s="2" cm="1">
        <f t="array" ref="C55">ROUND(IF($B55&gt;$C$4,100%,_xlfn.IFS($B55&lt;=$K$2,($K$3-$J$3)/($K$2-$J$2)*(COUNTA($B$9:$B55)-$J$2)+$J$3,$B55&lt;=$L$2,($L$3-$K$3)/($L$2-$K$2)*(COUNTA($B$9:$B55)-$K$2)+$K$3,$B55&lt;=$M$2,($M$3-$L$3)/($M$2-$L$2)*(COUNTA($B$9:$B55)-$L$2)+$L$3,$B55&gt;$M$2,(100%-$M$3)/($C$4-$M$2)*(COUNTA($B$9:$B55)-$M$2)+$M$3))*100,2)</f>
        <v>67</v>
      </c>
      <c r="D55" s="2" cm="1">
        <f t="array" ref="D55">ROUND(IF($B55&gt;$C$4,100%,_xlfn.IFS($B55&lt;=$K$2,($K$3-$J$3)/($K$2-$J$2)*(COUNTA($B$9:$B55)-$J$2)+$J$3,$B55&lt;=$L$2,($L$3-$K$3)/($L$2-$K$2)*(COUNTA($B$9:$B55)-$K$2)+$K$3,$B55&lt;=$M$2,($M$3-$L$3)/($M$2-$L$2)*(COUNTA($B$9:$B55)-$L$2)+$L$3,$B55&gt;$M$2,(100%-$M$3)/($C$4-$M$2)*(COUNTA($B$9:$B55)-$M$2)+$M$3))*100,2)</f>
        <v>67</v>
      </c>
      <c r="E55" s="2" cm="1">
        <f t="array" ref="E55">ROUND(IF($B55&gt;$C$4,100%,_xlfn.IFS($B55&lt;=$K$2,($K$3-$J$3)/($K$2-$J$2)*(COUNTA($B$9:$B55)-$J$2)+$J$3,$B55&lt;=$L$2,($L$3-$K$3)/($L$2-$K$2)*(COUNTA($B$9:$B55)-$K$2)+$K$3,$B55&lt;=$M$2,($M$3-$L$3)/($M$2-$L$2)*(COUNTA($B$9:$B55)-$L$2)+$L$3,$B55&gt;$M$2,(100%-$M$3)/($C$4-$M$2)*(COUNTA($B$9:$B55)-$M$2)+$M$3))*100,2)</f>
        <v>67</v>
      </c>
      <c r="F55" s="12"/>
      <c r="G55" s="12"/>
      <c r="H55" s="12"/>
      <c r="J55" s="2">
        <f>ROUNDUP((($K$5-$J$5)*C55/100)+$J$5,0)</f>
        <v>703</v>
      </c>
      <c r="K55" s="2">
        <f t="shared" si="0"/>
        <v>352</v>
      </c>
      <c r="L55" s="19">
        <f t="shared" si="1"/>
        <v>674</v>
      </c>
      <c r="M55" s="12"/>
      <c r="N55" s="12"/>
    </row>
    <row r="56" spans="2:14" x14ac:dyDescent="0.4">
      <c r="B56" s="2">
        <v>48</v>
      </c>
      <c r="C56" s="2" cm="1">
        <f t="array" ref="C56">ROUND(IF($B56&gt;$C$4,100%,_xlfn.IFS($B56&lt;=$K$2,($K$3-$J$3)/($K$2-$J$2)*(COUNTA($B$9:$B56)-$J$2)+$J$3,$B56&lt;=$L$2,($L$3-$K$3)/($L$2-$K$2)*(COUNTA($B$9:$B56)-$K$2)+$K$3,$B56&lt;=$M$2,($M$3-$L$3)/($M$2-$L$2)*(COUNTA($B$9:$B56)-$L$2)+$L$3,$B56&gt;$M$2,(100%-$M$3)/($C$4-$M$2)*(COUNTA($B$9:$B56)-$M$2)+$M$3))*100,2)</f>
        <v>68</v>
      </c>
      <c r="D56" s="2" cm="1">
        <f t="array" ref="D56">ROUND(IF($B56&gt;$C$4,100%,_xlfn.IFS($B56&lt;=$K$2,($K$3-$J$3)/($K$2-$J$2)*(COUNTA($B$9:$B56)-$J$2)+$J$3,$B56&lt;=$L$2,($L$3-$K$3)/($L$2-$K$2)*(COUNTA($B$9:$B56)-$K$2)+$K$3,$B56&lt;=$M$2,($M$3-$L$3)/($M$2-$L$2)*(COUNTA($B$9:$B56)-$L$2)+$L$3,$B56&gt;$M$2,(100%-$M$3)/($C$4-$M$2)*(COUNTA($B$9:$B56)-$M$2)+$M$3))*100,2)</f>
        <v>68</v>
      </c>
      <c r="E56" s="2" cm="1">
        <f t="array" ref="E56">ROUND(IF($B56&gt;$C$4,100%,_xlfn.IFS($B56&lt;=$K$2,($K$3-$J$3)/($K$2-$J$2)*(COUNTA($B$9:$B56)-$J$2)+$J$3,$B56&lt;=$L$2,($L$3-$K$3)/($L$2-$K$2)*(COUNTA($B$9:$B56)-$K$2)+$K$3,$B56&lt;=$M$2,($M$3-$L$3)/($M$2-$L$2)*(COUNTA($B$9:$B56)-$L$2)+$L$3,$B56&gt;$M$2,(100%-$M$3)/($C$4-$M$2)*(COUNTA($B$9:$B56)-$M$2)+$M$3))*100,2)</f>
        <v>68</v>
      </c>
      <c r="F56" s="12"/>
      <c r="G56" s="12"/>
      <c r="H56" s="12"/>
      <c r="J56" s="2">
        <f>ROUNDUP((($K$5-$J$5)*C56/100)+$J$5,0)</f>
        <v>712</v>
      </c>
      <c r="K56" s="2">
        <f t="shared" si="0"/>
        <v>356</v>
      </c>
      <c r="L56" s="19">
        <f t="shared" si="1"/>
        <v>684</v>
      </c>
      <c r="M56" s="12"/>
      <c r="N56" s="12"/>
    </row>
    <row r="57" spans="2:14" x14ac:dyDescent="0.4">
      <c r="B57" s="2">
        <v>49</v>
      </c>
      <c r="C57" s="2" cm="1">
        <f t="array" ref="C57">ROUND(IF($B57&gt;$C$4,100%,_xlfn.IFS($B57&lt;=$K$2,($K$3-$J$3)/($K$2-$J$2)*(COUNTA($B$9:$B57)-$J$2)+$J$3,$B57&lt;=$L$2,($L$3-$K$3)/($L$2-$K$2)*(COUNTA($B$9:$B57)-$K$2)+$K$3,$B57&lt;=$M$2,($M$3-$L$3)/($M$2-$L$2)*(COUNTA($B$9:$B57)-$L$2)+$L$3,$B57&gt;$M$2,(100%-$M$3)/($C$4-$M$2)*(COUNTA($B$9:$B57)-$M$2)+$M$3))*100,2)</f>
        <v>69</v>
      </c>
      <c r="D57" s="2" cm="1">
        <f t="array" ref="D57">ROUND(IF($B57&gt;$C$4,100%,_xlfn.IFS($B57&lt;=$K$2,($K$3-$J$3)/($K$2-$J$2)*(COUNTA($B$9:$B57)-$J$2)+$J$3,$B57&lt;=$L$2,($L$3-$K$3)/($L$2-$K$2)*(COUNTA($B$9:$B57)-$K$2)+$K$3,$B57&lt;=$M$2,($M$3-$L$3)/($M$2-$L$2)*(COUNTA($B$9:$B57)-$L$2)+$L$3,$B57&gt;$M$2,(100%-$M$3)/($C$4-$M$2)*(COUNTA($B$9:$B57)-$M$2)+$M$3))*100,2)</f>
        <v>69</v>
      </c>
      <c r="E57" s="2" cm="1">
        <f t="array" ref="E57">ROUND(IF($B57&gt;$C$4,100%,_xlfn.IFS($B57&lt;=$K$2,($K$3-$J$3)/($K$2-$J$2)*(COUNTA($B$9:$B57)-$J$2)+$J$3,$B57&lt;=$L$2,($L$3-$K$3)/($L$2-$K$2)*(COUNTA($B$9:$B57)-$K$2)+$K$3,$B57&lt;=$M$2,($M$3-$L$3)/($M$2-$L$2)*(COUNTA($B$9:$B57)-$L$2)+$L$3,$B57&gt;$M$2,(100%-$M$3)/($C$4-$M$2)*(COUNTA($B$9:$B57)-$M$2)+$M$3))*100,2)</f>
        <v>69</v>
      </c>
      <c r="F57" s="12"/>
      <c r="G57" s="12"/>
      <c r="H57" s="12"/>
      <c r="J57" s="2">
        <f>ROUNDUP((($K$5-$J$5)*C57/100)+$J$5,0)</f>
        <v>721</v>
      </c>
      <c r="K57" s="2">
        <f t="shared" si="0"/>
        <v>361</v>
      </c>
      <c r="L57" s="19">
        <f t="shared" si="1"/>
        <v>694</v>
      </c>
      <c r="M57" s="12"/>
      <c r="N57" s="12"/>
    </row>
    <row r="58" spans="2:14" x14ac:dyDescent="0.4">
      <c r="B58" s="2">
        <v>50</v>
      </c>
      <c r="C58" s="2" cm="1">
        <f t="array" ref="C58">ROUND(IF($B58&gt;$C$4,100%,_xlfn.IFS($B58&lt;=$K$2,($K$3-$J$3)/($K$2-$J$2)*(COUNTA($B$9:$B58)-$J$2)+$J$3,$B58&lt;=$L$2,($L$3-$K$3)/($L$2-$K$2)*(COUNTA($B$9:$B58)-$K$2)+$K$3,$B58&lt;=$M$2,($M$3-$L$3)/($M$2-$L$2)*(COUNTA($B$9:$B58)-$L$2)+$L$3,$B58&gt;$M$2,(100%-$M$3)/($C$4-$M$2)*(COUNTA($B$9:$B58)-$M$2)+$M$3))*100,2)</f>
        <v>70</v>
      </c>
      <c r="D58" s="2" cm="1">
        <f t="array" ref="D58">ROUND(IF($B58&gt;$C$4,100%,_xlfn.IFS($B58&lt;=$K$2,($K$3-$J$3)/($K$2-$J$2)*(COUNTA($B$9:$B58)-$J$2)+$J$3,$B58&lt;=$L$2,($L$3-$K$3)/($L$2-$K$2)*(COUNTA($B$9:$B58)-$K$2)+$K$3,$B58&lt;=$M$2,($M$3-$L$3)/($M$2-$L$2)*(COUNTA($B$9:$B58)-$L$2)+$L$3,$B58&gt;$M$2,(100%-$M$3)/($C$4-$M$2)*(COUNTA($B$9:$B58)-$M$2)+$M$3))*100,2)</f>
        <v>70</v>
      </c>
      <c r="E58" s="2" cm="1">
        <f t="array" ref="E58">ROUND(IF($B58&gt;$C$4,100%,_xlfn.IFS($B58&lt;=$K$2,($K$3-$J$3)/($K$2-$J$2)*(COUNTA($B$9:$B58)-$J$2)+$J$3,$B58&lt;=$L$2,($L$3-$K$3)/($L$2-$K$2)*(COUNTA($B$9:$B58)-$K$2)+$K$3,$B58&lt;=$M$2,($M$3-$L$3)/($M$2-$L$2)*(COUNTA($B$9:$B58)-$L$2)+$L$3,$B58&gt;$M$2,(100%-$M$3)/($C$4-$M$2)*(COUNTA($B$9:$B58)-$M$2)+$M$3))*100,2)</f>
        <v>70</v>
      </c>
      <c r="F58" s="12"/>
      <c r="G58" s="12"/>
      <c r="H58" s="12"/>
      <c r="J58" s="2">
        <f>ROUNDUP((($K$5-$J$5)*C58/100)+$J$5,0)</f>
        <v>730</v>
      </c>
      <c r="K58" s="2">
        <f t="shared" si="0"/>
        <v>365</v>
      </c>
      <c r="L58" s="19">
        <f t="shared" si="1"/>
        <v>703</v>
      </c>
      <c r="M58" s="12"/>
      <c r="N58" s="12"/>
    </row>
    <row r="59" spans="2:14" x14ac:dyDescent="0.4">
      <c r="B59" s="2">
        <v>51</v>
      </c>
      <c r="C59" s="2" cm="1">
        <f t="array" ref="C59">ROUND(IF($B59&gt;$C$4,100%,_xlfn.IFS($B59&lt;=$K$2,($K$3-$J$3)/($K$2-$J$2)*(COUNTA($B$9:$B59)-$J$2)+$J$3,$B59&lt;=$L$2,($L$3-$K$3)/($L$2-$K$2)*(COUNTA($B$9:$B59)-$K$2)+$K$3,$B59&lt;=$M$2,($M$3-$L$3)/($M$2-$L$2)*(COUNTA($B$9:$B59)-$L$2)+$L$3,$B59&gt;$M$2,(100%-$M$3)/($C$4-$M$2)*(COUNTA($B$9:$B59)-$M$2)+$M$3))*100,2)</f>
        <v>70.599999999999994</v>
      </c>
      <c r="D59" s="2" cm="1">
        <f t="array" ref="D59">ROUND(IF($B59&gt;$C$4,100%,_xlfn.IFS($B59&lt;=$K$2,($K$3-$J$3)/($K$2-$J$2)*(COUNTA($B$9:$B59)-$J$2)+$J$3,$B59&lt;=$L$2,($L$3-$K$3)/($L$2-$K$2)*(COUNTA($B$9:$B59)-$K$2)+$K$3,$B59&lt;=$M$2,($M$3-$L$3)/($M$2-$L$2)*(COUNTA($B$9:$B59)-$L$2)+$L$3,$B59&gt;$M$2,(100%-$M$3)/($C$4-$M$2)*(COUNTA($B$9:$B59)-$M$2)+$M$3))*100,2)</f>
        <v>70.599999999999994</v>
      </c>
      <c r="E59" s="2" cm="1">
        <f t="array" ref="E59">ROUND(IF($B59&gt;$C$4,100%,_xlfn.IFS($B59&lt;=$K$2,($K$3-$J$3)/($K$2-$J$2)*(COUNTA($B$9:$B59)-$J$2)+$J$3,$B59&lt;=$L$2,($L$3-$K$3)/($L$2-$K$2)*(COUNTA($B$9:$B59)-$K$2)+$K$3,$B59&lt;=$M$2,($M$3-$L$3)/($M$2-$L$2)*(COUNTA($B$9:$B59)-$L$2)+$L$3,$B59&gt;$M$2,(100%-$M$3)/($C$4-$M$2)*(COUNTA($B$9:$B59)-$M$2)+$M$3))*100,2)</f>
        <v>70.599999999999994</v>
      </c>
      <c r="F59" s="12"/>
      <c r="G59" s="12"/>
      <c r="H59" s="12"/>
      <c r="J59" s="2">
        <f>ROUNDUP((($K$5-$J$5)*C59/100)+$J$5,0)</f>
        <v>736</v>
      </c>
      <c r="K59" s="2">
        <f t="shared" si="0"/>
        <v>368</v>
      </c>
      <c r="L59" s="19">
        <f t="shared" si="1"/>
        <v>709</v>
      </c>
      <c r="M59" s="12"/>
      <c r="N59" s="12"/>
    </row>
    <row r="60" spans="2:14" x14ac:dyDescent="0.4">
      <c r="B60" s="2">
        <v>52</v>
      </c>
      <c r="C60" s="2" cm="1">
        <f t="array" ref="C60">ROUND(IF($B60&gt;$C$4,100%,_xlfn.IFS($B60&lt;=$K$2,($K$3-$J$3)/($K$2-$J$2)*(COUNTA($B$9:$B60)-$J$2)+$J$3,$B60&lt;=$L$2,($L$3-$K$3)/($L$2-$K$2)*(COUNTA($B$9:$B60)-$K$2)+$K$3,$B60&lt;=$M$2,($M$3-$L$3)/($M$2-$L$2)*(COUNTA($B$9:$B60)-$L$2)+$L$3,$B60&gt;$M$2,(100%-$M$3)/($C$4-$M$2)*(COUNTA($B$9:$B60)-$M$2)+$M$3))*100,2)</f>
        <v>71.2</v>
      </c>
      <c r="D60" s="2" cm="1">
        <f t="array" ref="D60">ROUND(IF($B60&gt;$C$4,100%,_xlfn.IFS($B60&lt;=$K$2,($K$3-$J$3)/($K$2-$J$2)*(COUNTA($B$9:$B60)-$J$2)+$J$3,$B60&lt;=$L$2,($L$3-$K$3)/($L$2-$K$2)*(COUNTA($B$9:$B60)-$K$2)+$K$3,$B60&lt;=$M$2,($M$3-$L$3)/($M$2-$L$2)*(COUNTA($B$9:$B60)-$L$2)+$L$3,$B60&gt;$M$2,(100%-$M$3)/($C$4-$M$2)*(COUNTA($B$9:$B60)-$M$2)+$M$3))*100,2)</f>
        <v>71.2</v>
      </c>
      <c r="E60" s="2" cm="1">
        <f t="array" ref="E60">ROUND(IF($B60&gt;$C$4,100%,_xlfn.IFS($B60&lt;=$K$2,($K$3-$J$3)/($K$2-$J$2)*(COUNTA($B$9:$B60)-$J$2)+$J$3,$B60&lt;=$L$2,($L$3-$K$3)/($L$2-$K$2)*(COUNTA($B$9:$B60)-$K$2)+$K$3,$B60&lt;=$M$2,($M$3-$L$3)/($M$2-$L$2)*(COUNTA($B$9:$B60)-$L$2)+$L$3,$B60&gt;$M$2,(100%-$M$3)/($C$4-$M$2)*(COUNTA($B$9:$B60)-$M$2)+$M$3))*100,2)</f>
        <v>71.2</v>
      </c>
      <c r="F60" s="12"/>
      <c r="G60" s="12"/>
      <c r="H60" s="12"/>
      <c r="J60" s="2">
        <f>ROUNDUP((($K$5-$J$5)*C60/100)+$J$5,0)</f>
        <v>741</v>
      </c>
      <c r="K60" s="2">
        <f t="shared" si="0"/>
        <v>371</v>
      </c>
      <c r="L60" s="19">
        <f t="shared" si="1"/>
        <v>715</v>
      </c>
      <c r="M60" s="12"/>
      <c r="N60" s="12"/>
    </row>
    <row r="61" spans="2:14" x14ac:dyDescent="0.4">
      <c r="B61" s="2">
        <v>53</v>
      </c>
      <c r="C61" s="2" cm="1">
        <f t="array" ref="C61">ROUND(IF($B61&gt;$C$4,100%,_xlfn.IFS($B61&lt;=$K$2,($K$3-$J$3)/($K$2-$J$2)*(COUNTA($B$9:$B61)-$J$2)+$J$3,$B61&lt;=$L$2,($L$3-$K$3)/($L$2-$K$2)*(COUNTA($B$9:$B61)-$K$2)+$K$3,$B61&lt;=$M$2,($M$3-$L$3)/($M$2-$L$2)*(COUNTA($B$9:$B61)-$L$2)+$L$3,$B61&gt;$M$2,(100%-$M$3)/($C$4-$M$2)*(COUNTA($B$9:$B61)-$M$2)+$M$3))*100,2)</f>
        <v>71.8</v>
      </c>
      <c r="D61" s="2" cm="1">
        <f t="array" ref="D61">ROUND(IF($B61&gt;$C$4,100%,_xlfn.IFS($B61&lt;=$K$2,($K$3-$J$3)/($K$2-$J$2)*(COUNTA($B$9:$B61)-$J$2)+$J$3,$B61&lt;=$L$2,($L$3-$K$3)/($L$2-$K$2)*(COUNTA($B$9:$B61)-$K$2)+$K$3,$B61&lt;=$M$2,($M$3-$L$3)/($M$2-$L$2)*(COUNTA($B$9:$B61)-$L$2)+$L$3,$B61&gt;$M$2,(100%-$M$3)/($C$4-$M$2)*(COUNTA($B$9:$B61)-$M$2)+$M$3))*100,2)</f>
        <v>71.8</v>
      </c>
      <c r="E61" s="2" cm="1">
        <f t="array" ref="E61">ROUND(IF($B61&gt;$C$4,100%,_xlfn.IFS($B61&lt;=$K$2,($K$3-$J$3)/($K$2-$J$2)*(COUNTA($B$9:$B61)-$J$2)+$J$3,$B61&lt;=$L$2,($L$3-$K$3)/($L$2-$K$2)*(COUNTA($B$9:$B61)-$K$2)+$K$3,$B61&lt;=$M$2,($M$3-$L$3)/($M$2-$L$2)*(COUNTA($B$9:$B61)-$L$2)+$L$3,$B61&gt;$M$2,(100%-$M$3)/($C$4-$M$2)*(COUNTA($B$9:$B61)-$M$2)+$M$3))*100,2)</f>
        <v>71.8</v>
      </c>
      <c r="F61" s="12"/>
      <c r="G61" s="12"/>
      <c r="H61" s="12"/>
      <c r="J61" s="2">
        <f>ROUNDUP((($K$5-$J$5)*C61/100)+$J$5,0)</f>
        <v>747</v>
      </c>
      <c r="K61" s="2">
        <f t="shared" si="0"/>
        <v>374</v>
      </c>
      <c r="L61" s="19">
        <f t="shared" si="1"/>
        <v>721</v>
      </c>
      <c r="M61" s="12"/>
      <c r="N61" s="12"/>
    </row>
    <row r="62" spans="2:14" x14ac:dyDescent="0.4">
      <c r="B62" s="2">
        <v>54</v>
      </c>
      <c r="C62" s="2" cm="1">
        <f t="array" ref="C62">ROUND(IF($B62&gt;$C$4,100%,_xlfn.IFS($B62&lt;=$K$2,($K$3-$J$3)/($K$2-$J$2)*(COUNTA($B$9:$B62)-$J$2)+$J$3,$B62&lt;=$L$2,($L$3-$K$3)/($L$2-$K$2)*(COUNTA($B$9:$B62)-$K$2)+$K$3,$B62&lt;=$M$2,($M$3-$L$3)/($M$2-$L$2)*(COUNTA($B$9:$B62)-$L$2)+$L$3,$B62&gt;$M$2,(100%-$M$3)/($C$4-$M$2)*(COUNTA($B$9:$B62)-$M$2)+$M$3))*100,2)</f>
        <v>72.400000000000006</v>
      </c>
      <c r="D62" s="2" cm="1">
        <f t="array" ref="D62">ROUND(IF($B62&gt;$C$4,100%,_xlfn.IFS($B62&lt;=$K$2,($K$3-$J$3)/($K$2-$J$2)*(COUNTA($B$9:$B62)-$J$2)+$J$3,$B62&lt;=$L$2,($L$3-$K$3)/($L$2-$K$2)*(COUNTA($B$9:$B62)-$K$2)+$K$3,$B62&lt;=$M$2,($M$3-$L$3)/($M$2-$L$2)*(COUNTA($B$9:$B62)-$L$2)+$L$3,$B62&gt;$M$2,(100%-$M$3)/($C$4-$M$2)*(COUNTA($B$9:$B62)-$M$2)+$M$3))*100,2)</f>
        <v>72.400000000000006</v>
      </c>
      <c r="E62" s="2" cm="1">
        <f t="array" ref="E62">ROUND(IF($B62&gt;$C$4,100%,_xlfn.IFS($B62&lt;=$K$2,($K$3-$J$3)/($K$2-$J$2)*(COUNTA($B$9:$B62)-$J$2)+$J$3,$B62&lt;=$L$2,($L$3-$K$3)/($L$2-$K$2)*(COUNTA($B$9:$B62)-$K$2)+$K$3,$B62&lt;=$M$2,($M$3-$L$3)/($M$2-$L$2)*(COUNTA($B$9:$B62)-$L$2)+$L$3,$B62&gt;$M$2,(100%-$M$3)/($C$4-$M$2)*(COUNTA($B$9:$B62)-$M$2)+$M$3))*100,2)</f>
        <v>72.400000000000006</v>
      </c>
      <c r="F62" s="12"/>
      <c r="G62" s="12"/>
      <c r="H62" s="12"/>
      <c r="J62" s="2">
        <f>ROUNDUP((($K$5-$J$5)*C62/100)+$J$5,0)</f>
        <v>752</v>
      </c>
      <c r="K62" s="2">
        <f t="shared" si="0"/>
        <v>376</v>
      </c>
      <c r="L62" s="19">
        <f t="shared" si="1"/>
        <v>727</v>
      </c>
      <c r="M62" s="12"/>
      <c r="N62" s="12"/>
    </row>
    <row r="63" spans="2:14" x14ac:dyDescent="0.4">
      <c r="B63" s="2">
        <v>55</v>
      </c>
      <c r="C63" s="2" cm="1">
        <f t="array" ref="C63">ROUND(IF($B63&gt;$C$4,100%,_xlfn.IFS($B63&lt;=$K$2,($K$3-$J$3)/($K$2-$J$2)*(COUNTA($B$9:$B63)-$J$2)+$J$3,$B63&lt;=$L$2,($L$3-$K$3)/($L$2-$K$2)*(COUNTA($B$9:$B63)-$K$2)+$K$3,$B63&lt;=$M$2,($M$3-$L$3)/($M$2-$L$2)*(COUNTA($B$9:$B63)-$L$2)+$L$3,$B63&gt;$M$2,(100%-$M$3)/($C$4-$M$2)*(COUNTA($B$9:$B63)-$M$2)+$M$3))*100,2)</f>
        <v>73</v>
      </c>
      <c r="D63" s="2" cm="1">
        <f t="array" ref="D63">ROUND(IF($B63&gt;$C$4,100%,_xlfn.IFS($B63&lt;=$K$2,($K$3-$J$3)/($K$2-$J$2)*(COUNTA($B$9:$B63)-$J$2)+$J$3,$B63&lt;=$L$2,($L$3-$K$3)/($L$2-$K$2)*(COUNTA($B$9:$B63)-$K$2)+$K$3,$B63&lt;=$M$2,($M$3-$L$3)/($M$2-$L$2)*(COUNTA($B$9:$B63)-$L$2)+$L$3,$B63&gt;$M$2,(100%-$M$3)/($C$4-$M$2)*(COUNTA($B$9:$B63)-$M$2)+$M$3))*100,2)</f>
        <v>73</v>
      </c>
      <c r="E63" s="2" cm="1">
        <f t="array" ref="E63">ROUND(IF($B63&gt;$C$4,100%,_xlfn.IFS($B63&lt;=$K$2,($K$3-$J$3)/($K$2-$J$2)*(COUNTA($B$9:$B63)-$J$2)+$J$3,$B63&lt;=$L$2,($L$3-$K$3)/($L$2-$K$2)*(COUNTA($B$9:$B63)-$K$2)+$K$3,$B63&lt;=$M$2,($M$3-$L$3)/($M$2-$L$2)*(COUNTA($B$9:$B63)-$L$2)+$L$3,$B63&gt;$M$2,(100%-$M$3)/($C$4-$M$2)*(COUNTA($B$9:$B63)-$M$2)+$M$3))*100,2)</f>
        <v>73</v>
      </c>
      <c r="F63" s="12"/>
      <c r="G63" s="12"/>
      <c r="H63" s="12"/>
      <c r="J63" s="2">
        <f>ROUNDUP((($K$5-$J$5)*C63/100)+$J$5,0)</f>
        <v>757</v>
      </c>
      <c r="K63" s="2">
        <f t="shared" si="0"/>
        <v>379</v>
      </c>
      <c r="L63" s="19">
        <f t="shared" si="1"/>
        <v>733</v>
      </c>
      <c r="M63" s="12"/>
      <c r="N63" s="12"/>
    </row>
    <row r="64" spans="2:14" x14ac:dyDescent="0.4">
      <c r="B64" s="2">
        <v>56</v>
      </c>
      <c r="C64" s="2" cm="1">
        <f t="array" ref="C64">ROUND(IF($B64&gt;$C$4,100%,_xlfn.IFS($B64&lt;=$K$2,($K$3-$J$3)/($K$2-$J$2)*(COUNTA($B$9:$B64)-$J$2)+$J$3,$B64&lt;=$L$2,($L$3-$K$3)/($L$2-$K$2)*(COUNTA($B$9:$B64)-$K$2)+$K$3,$B64&lt;=$M$2,($M$3-$L$3)/($M$2-$L$2)*(COUNTA($B$9:$B64)-$L$2)+$L$3,$B64&gt;$M$2,(100%-$M$3)/($C$4-$M$2)*(COUNTA($B$9:$B64)-$M$2)+$M$3))*100,2)</f>
        <v>73.599999999999994</v>
      </c>
      <c r="D64" s="2" cm="1">
        <f t="array" ref="D64">ROUND(IF($B64&gt;$C$4,100%,_xlfn.IFS($B64&lt;=$K$2,($K$3-$J$3)/($K$2-$J$2)*(COUNTA($B$9:$B64)-$J$2)+$J$3,$B64&lt;=$L$2,($L$3-$K$3)/($L$2-$K$2)*(COUNTA($B$9:$B64)-$K$2)+$K$3,$B64&lt;=$M$2,($M$3-$L$3)/($M$2-$L$2)*(COUNTA($B$9:$B64)-$L$2)+$L$3,$B64&gt;$M$2,(100%-$M$3)/($C$4-$M$2)*(COUNTA($B$9:$B64)-$M$2)+$M$3))*100,2)</f>
        <v>73.599999999999994</v>
      </c>
      <c r="E64" s="2" cm="1">
        <f t="array" ref="E64">ROUND(IF($B64&gt;$C$4,100%,_xlfn.IFS($B64&lt;=$K$2,($K$3-$J$3)/($K$2-$J$2)*(COUNTA($B$9:$B64)-$J$2)+$J$3,$B64&lt;=$L$2,($L$3-$K$3)/($L$2-$K$2)*(COUNTA($B$9:$B64)-$K$2)+$K$3,$B64&lt;=$M$2,($M$3-$L$3)/($M$2-$L$2)*(COUNTA($B$9:$B64)-$L$2)+$L$3,$B64&gt;$M$2,(100%-$M$3)/($C$4-$M$2)*(COUNTA($B$9:$B64)-$M$2)+$M$3))*100,2)</f>
        <v>73.599999999999994</v>
      </c>
      <c r="F64" s="12"/>
      <c r="G64" s="12"/>
      <c r="H64" s="12"/>
      <c r="J64" s="2">
        <f>ROUNDUP((($K$5-$J$5)*C64/100)+$J$5,0)</f>
        <v>763</v>
      </c>
      <c r="K64" s="2">
        <f t="shared" si="0"/>
        <v>382</v>
      </c>
      <c r="L64" s="19">
        <f t="shared" si="1"/>
        <v>739</v>
      </c>
      <c r="M64" s="12"/>
      <c r="N64" s="12"/>
    </row>
    <row r="65" spans="2:14" x14ac:dyDescent="0.4">
      <c r="B65" s="2">
        <v>57</v>
      </c>
      <c r="C65" s="2" cm="1">
        <f t="array" ref="C65">ROUND(IF($B65&gt;$C$4,100%,_xlfn.IFS($B65&lt;=$K$2,($K$3-$J$3)/($K$2-$J$2)*(COUNTA($B$9:$B65)-$J$2)+$J$3,$B65&lt;=$L$2,($L$3-$K$3)/($L$2-$K$2)*(COUNTA($B$9:$B65)-$K$2)+$K$3,$B65&lt;=$M$2,($M$3-$L$3)/($M$2-$L$2)*(COUNTA($B$9:$B65)-$L$2)+$L$3,$B65&gt;$M$2,(100%-$M$3)/($C$4-$M$2)*(COUNTA($B$9:$B65)-$M$2)+$M$3))*100,2)</f>
        <v>74.2</v>
      </c>
      <c r="D65" s="2" cm="1">
        <f t="array" ref="D65">ROUND(IF($B65&gt;$C$4,100%,_xlfn.IFS($B65&lt;=$K$2,($K$3-$J$3)/($K$2-$J$2)*(COUNTA($B$9:$B65)-$J$2)+$J$3,$B65&lt;=$L$2,($L$3-$K$3)/($L$2-$K$2)*(COUNTA($B$9:$B65)-$K$2)+$K$3,$B65&lt;=$M$2,($M$3-$L$3)/($M$2-$L$2)*(COUNTA($B$9:$B65)-$L$2)+$L$3,$B65&gt;$M$2,(100%-$M$3)/($C$4-$M$2)*(COUNTA($B$9:$B65)-$M$2)+$M$3))*100,2)</f>
        <v>74.2</v>
      </c>
      <c r="E65" s="2" cm="1">
        <f t="array" ref="E65">ROUND(IF($B65&gt;$C$4,100%,_xlfn.IFS($B65&lt;=$K$2,($K$3-$J$3)/($K$2-$J$2)*(COUNTA($B$9:$B65)-$J$2)+$J$3,$B65&lt;=$L$2,($L$3-$K$3)/($L$2-$K$2)*(COUNTA($B$9:$B65)-$K$2)+$K$3,$B65&lt;=$M$2,($M$3-$L$3)/($M$2-$L$2)*(COUNTA($B$9:$B65)-$L$2)+$L$3,$B65&gt;$M$2,(100%-$M$3)/($C$4-$M$2)*(COUNTA($B$9:$B65)-$M$2)+$M$3))*100,2)</f>
        <v>74.2</v>
      </c>
      <c r="F65" s="12"/>
      <c r="G65" s="12"/>
      <c r="H65" s="12"/>
      <c r="J65" s="2">
        <f>ROUNDUP((($K$5-$J$5)*C65/100)+$J$5,0)</f>
        <v>768</v>
      </c>
      <c r="K65" s="2">
        <f t="shared" si="0"/>
        <v>384</v>
      </c>
      <c r="L65" s="19">
        <f t="shared" si="1"/>
        <v>745</v>
      </c>
      <c r="M65" s="12"/>
      <c r="N65" s="12"/>
    </row>
    <row r="66" spans="2:14" x14ac:dyDescent="0.4">
      <c r="B66" s="2">
        <v>58</v>
      </c>
      <c r="C66" s="2" cm="1">
        <f t="array" ref="C66">ROUND(IF($B66&gt;$C$4,100%,_xlfn.IFS($B66&lt;=$K$2,($K$3-$J$3)/($K$2-$J$2)*(COUNTA($B$9:$B66)-$J$2)+$J$3,$B66&lt;=$L$2,($L$3-$K$3)/($L$2-$K$2)*(COUNTA($B$9:$B66)-$K$2)+$K$3,$B66&lt;=$M$2,($M$3-$L$3)/($M$2-$L$2)*(COUNTA($B$9:$B66)-$L$2)+$L$3,$B66&gt;$M$2,(100%-$M$3)/($C$4-$M$2)*(COUNTA($B$9:$B66)-$M$2)+$M$3))*100,2)</f>
        <v>74.8</v>
      </c>
      <c r="D66" s="2" cm="1">
        <f t="array" ref="D66">ROUND(IF($B66&gt;$C$4,100%,_xlfn.IFS($B66&lt;=$K$2,($K$3-$J$3)/($K$2-$J$2)*(COUNTA($B$9:$B66)-$J$2)+$J$3,$B66&lt;=$L$2,($L$3-$K$3)/($L$2-$K$2)*(COUNTA($B$9:$B66)-$K$2)+$K$3,$B66&lt;=$M$2,($M$3-$L$3)/($M$2-$L$2)*(COUNTA($B$9:$B66)-$L$2)+$L$3,$B66&gt;$M$2,(100%-$M$3)/($C$4-$M$2)*(COUNTA($B$9:$B66)-$M$2)+$M$3))*100,2)</f>
        <v>74.8</v>
      </c>
      <c r="E66" s="2" cm="1">
        <f t="array" ref="E66">ROUND(IF($B66&gt;$C$4,100%,_xlfn.IFS($B66&lt;=$K$2,($K$3-$J$3)/($K$2-$J$2)*(COUNTA($B$9:$B66)-$J$2)+$J$3,$B66&lt;=$L$2,($L$3-$K$3)/($L$2-$K$2)*(COUNTA($B$9:$B66)-$K$2)+$K$3,$B66&lt;=$M$2,($M$3-$L$3)/($M$2-$L$2)*(COUNTA($B$9:$B66)-$L$2)+$L$3,$B66&gt;$M$2,(100%-$M$3)/($C$4-$M$2)*(COUNTA($B$9:$B66)-$M$2)+$M$3))*100,2)</f>
        <v>74.8</v>
      </c>
      <c r="F66" s="12"/>
      <c r="G66" s="12"/>
      <c r="H66" s="12"/>
      <c r="J66" s="2">
        <f>ROUNDUP((($K$5-$J$5)*C66/100)+$J$5,0)</f>
        <v>774</v>
      </c>
      <c r="K66" s="2">
        <f t="shared" si="0"/>
        <v>387</v>
      </c>
      <c r="L66" s="19">
        <f t="shared" si="1"/>
        <v>751</v>
      </c>
      <c r="M66" s="12"/>
      <c r="N66" s="12"/>
    </row>
    <row r="67" spans="2:14" x14ac:dyDescent="0.4">
      <c r="B67" s="2">
        <v>59</v>
      </c>
      <c r="C67" s="2" cm="1">
        <f t="array" ref="C67">ROUND(IF($B67&gt;$C$4,100%,_xlfn.IFS($B67&lt;=$K$2,($K$3-$J$3)/($K$2-$J$2)*(COUNTA($B$9:$B67)-$J$2)+$J$3,$B67&lt;=$L$2,($L$3-$K$3)/($L$2-$K$2)*(COUNTA($B$9:$B67)-$K$2)+$K$3,$B67&lt;=$M$2,($M$3-$L$3)/($M$2-$L$2)*(COUNTA($B$9:$B67)-$L$2)+$L$3,$B67&gt;$M$2,(100%-$M$3)/($C$4-$M$2)*(COUNTA($B$9:$B67)-$M$2)+$M$3))*100,2)</f>
        <v>75.400000000000006</v>
      </c>
      <c r="D67" s="2" cm="1">
        <f t="array" ref="D67">ROUND(IF($B67&gt;$C$4,100%,_xlfn.IFS($B67&lt;=$K$2,($K$3-$J$3)/($K$2-$J$2)*(COUNTA($B$9:$B67)-$J$2)+$J$3,$B67&lt;=$L$2,($L$3-$K$3)/($L$2-$K$2)*(COUNTA($B$9:$B67)-$K$2)+$K$3,$B67&lt;=$M$2,($M$3-$L$3)/($M$2-$L$2)*(COUNTA($B$9:$B67)-$L$2)+$L$3,$B67&gt;$M$2,(100%-$M$3)/($C$4-$M$2)*(COUNTA($B$9:$B67)-$M$2)+$M$3))*100,2)</f>
        <v>75.400000000000006</v>
      </c>
      <c r="E67" s="2" cm="1">
        <f t="array" ref="E67">ROUND(IF($B67&gt;$C$4,100%,_xlfn.IFS($B67&lt;=$K$2,($K$3-$J$3)/($K$2-$J$2)*(COUNTA($B$9:$B67)-$J$2)+$J$3,$B67&lt;=$L$2,($L$3-$K$3)/($L$2-$K$2)*(COUNTA($B$9:$B67)-$K$2)+$K$3,$B67&lt;=$M$2,($M$3-$L$3)/($M$2-$L$2)*(COUNTA($B$9:$B67)-$L$2)+$L$3,$B67&gt;$M$2,(100%-$M$3)/($C$4-$M$2)*(COUNTA($B$9:$B67)-$M$2)+$M$3))*100,2)</f>
        <v>75.400000000000006</v>
      </c>
      <c r="F67" s="12"/>
      <c r="G67" s="12"/>
      <c r="H67" s="12"/>
      <c r="J67" s="2">
        <f>ROUNDUP((($K$5-$J$5)*C67/100)+$J$5,0)</f>
        <v>779</v>
      </c>
      <c r="K67" s="2">
        <f t="shared" si="0"/>
        <v>390</v>
      </c>
      <c r="L67" s="19">
        <f t="shared" si="1"/>
        <v>757</v>
      </c>
      <c r="M67" s="12"/>
      <c r="N67" s="12"/>
    </row>
    <row r="68" spans="2:14" x14ac:dyDescent="0.4">
      <c r="B68" s="2">
        <v>60</v>
      </c>
      <c r="C68" s="2" cm="1">
        <f t="array" ref="C68">ROUND(IF($B68&gt;$C$4,100%,_xlfn.IFS($B68&lt;=$K$2,($K$3-$J$3)/($K$2-$J$2)*(COUNTA($B$9:$B68)-$J$2)+$J$3,$B68&lt;=$L$2,($L$3-$K$3)/($L$2-$K$2)*(COUNTA($B$9:$B68)-$K$2)+$K$3,$B68&lt;=$M$2,($M$3-$L$3)/($M$2-$L$2)*(COUNTA($B$9:$B68)-$L$2)+$L$3,$B68&gt;$M$2,(100%-$M$3)/($C$4-$M$2)*(COUNTA($B$9:$B68)-$M$2)+$M$3))*100,2)</f>
        <v>76</v>
      </c>
      <c r="D68" s="2" cm="1">
        <f t="array" ref="D68">ROUND(IF($B68&gt;$C$4,100%,_xlfn.IFS($B68&lt;=$K$2,($K$3-$J$3)/($K$2-$J$2)*(COUNTA($B$9:$B68)-$J$2)+$J$3,$B68&lt;=$L$2,($L$3-$K$3)/($L$2-$K$2)*(COUNTA($B$9:$B68)-$K$2)+$K$3,$B68&lt;=$M$2,($M$3-$L$3)/($M$2-$L$2)*(COUNTA($B$9:$B68)-$L$2)+$L$3,$B68&gt;$M$2,(100%-$M$3)/($C$4-$M$2)*(COUNTA($B$9:$B68)-$M$2)+$M$3))*100,2)</f>
        <v>76</v>
      </c>
      <c r="E68" s="2" cm="1">
        <f t="array" ref="E68">ROUND(IF($B68&gt;$C$4,100%,_xlfn.IFS($B68&lt;=$K$2,($K$3-$J$3)/($K$2-$J$2)*(COUNTA($B$9:$B68)-$J$2)+$J$3,$B68&lt;=$L$2,($L$3-$K$3)/($L$2-$K$2)*(COUNTA($B$9:$B68)-$K$2)+$K$3,$B68&lt;=$M$2,($M$3-$L$3)/($M$2-$L$2)*(COUNTA($B$9:$B68)-$L$2)+$L$3,$B68&gt;$M$2,(100%-$M$3)/($C$4-$M$2)*(COUNTA($B$9:$B68)-$M$2)+$M$3))*100,2)</f>
        <v>76</v>
      </c>
      <c r="F68" s="12"/>
      <c r="G68" s="12"/>
      <c r="H68" s="12"/>
      <c r="J68" s="2">
        <f>ROUNDUP((($K$5-$J$5)*C68/100)+$J$5,0)</f>
        <v>784</v>
      </c>
      <c r="K68" s="2">
        <f t="shared" si="0"/>
        <v>392</v>
      </c>
      <c r="L68" s="19">
        <f t="shared" si="1"/>
        <v>763</v>
      </c>
      <c r="M68" s="12"/>
      <c r="N68" s="12"/>
    </row>
    <row r="69" spans="2:14" x14ac:dyDescent="0.4">
      <c r="B69" s="2">
        <v>61</v>
      </c>
      <c r="C69" s="2" cm="1">
        <f t="array" ref="C69">ROUND(IF($B69&gt;$C$4,100%,_xlfn.IFS($B69&lt;=$K$2,($K$3-$J$3)/($K$2-$J$2)*(COUNTA($B$9:$B69)-$J$2)+$J$3,$B69&lt;=$L$2,($L$3-$K$3)/($L$2-$K$2)*(COUNTA($B$9:$B69)-$K$2)+$K$3,$B69&lt;=$M$2,($M$3-$L$3)/($M$2-$L$2)*(COUNTA($B$9:$B69)-$L$2)+$L$3,$B69&gt;$M$2,(100%-$M$3)/($C$4-$M$2)*(COUNTA($B$9:$B69)-$M$2)+$M$3))*100,2)</f>
        <v>76.599999999999994</v>
      </c>
      <c r="D69" s="2" cm="1">
        <f t="array" ref="D69">ROUND(IF($B69&gt;$C$4,100%,_xlfn.IFS($B69&lt;=$K$2,($K$3-$J$3)/($K$2-$J$2)*(COUNTA($B$9:$B69)-$J$2)+$J$3,$B69&lt;=$L$2,($L$3-$K$3)/($L$2-$K$2)*(COUNTA($B$9:$B69)-$K$2)+$K$3,$B69&lt;=$M$2,($M$3-$L$3)/($M$2-$L$2)*(COUNTA($B$9:$B69)-$L$2)+$L$3,$B69&gt;$M$2,(100%-$M$3)/($C$4-$M$2)*(COUNTA($B$9:$B69)-$M$2)+$M$3))*100,2)</f>
        <v>76.599999999999994</v>
      </c>
      <c r="E69" s="2" cm="1">
        <f t="array" ref="E69">ROUND(IF($B69&gt;$C$4,100%,_xlfn.IFS($B69&lt;=$K$2,($K$3-$J$3)/($K$2-$J$2)*(COUNTA($B$9:$B69)-$J$2)+$J$3,$B69&lt;=$L$2,($L$3-$K$3)/($L$2-$K$2)*(COUNTA($B$9:$B69)-$K$2)+$K$3,$B69&lt;=$M$2,($M$3-$L$3)/($M$2-$L$2)*(COUNTA($B$9:$B69)-$L$2)+$L$3,$B69&gt;$M$2,(100%-$M$3)/($C$4-$M$2)*(COUNTA($B$9:$B69)-$M$2)+$M$3))*100,2)</f>
        <v>76.599999999999994</v>
      </c>
      <c r="F69" s="12"/>
      <c r="G69" s="12"/>
      <c r="H69" s="12"/>
      <c r="J69" s="2">
        <f>ROUNDUP((($K$5-$J$5)*C69/100)+$J$5,0)</f>
        <v>790</v>
      </c>
      <c r="K69" s="2">
        <f t="shared" si="0"/>
        <v>395</v>
      </c>
      <c r="L69" s="19">
        <f t="shared" si="1"/>
        <v>769</v>
      </c>
      <c r="M69" s="12"/>
      <c r="N69" s="12"/>
    </row>
    <row r="70" spans="2:14" x14ac:dyDescent="0.4">
      <c r="B70" s="2">
        <v>62</v>
      </c>
      <c r="C70" s="2" cm="1">
        <f t="array" ref="C70">ROUND(IF($B70&gt;$C$4,100%,_xlfn.IFS($B70&lt;=$K$2,($K$3-$J$3)/($K$2-$J$2)*(COUNTA($B$9:$B70)-$J$2)+$J$3,$B70&lt;=$L$2,($L$3-$K$3)/($L$2-$K$2)*(COUNTA($B$9:$B70)-$K$2)+$K$3,$B70&lt;=$M$2,($M$3-$L$3)/($M$2-$L$2)*(COUNTA($B$9:$B70)-$L$2)+$L$3,$B70&gt;$M$2,(100%-$M$3)/($C$4-$M$2)*(COUNTA($B$9:$B70)-$M$2)+$M$3))*100,2)</f>
        <v>77.2</v>
      </c>
      <c r="D70" s="2" cm="1">
        <f t="array" ref="D70">ROUND(IF($B70&gt;$C$4,100%,_xlfn.IFS($B70&lt;=$K$2,($K$3-$J$3)/($K$2-$J$2)*(COUNTA($B$9:$B70)-$J$2)+$J$3,$B70&lt;=$L$2,($L$3-$K$3)/($L$2-$K$2)*(COUNTA($B$9:$B70)-$K$2)+$K$3,$B70&lt;=$M$2,($M$3-$L$3)/($M$2-$L$2)*(COUNTA($B$9:$B70)-$L$2)+$L$3,$B70&gt;$M$2,(100%-$M$3)/($C$4-$M$2)*(COUNTA($B$9:$B70)-$M$2)+$M$3))*100,2)</f>
        <v>77.2</v>
      </c>
      <c r="E70" s="2" cm="1">
        <f t="array" ref="E70">ROUND(IF($B70&gt;$C$4,100%,_xlfn.IFS($B70&lt;=$K$2,($K$3-$J$3)/($K$2-$J$2)*(COUNTA($B$9:$B70)-$J$2)+$J$3,$B70&lt;=$L$2,($L$3-$K$3)/($L$2-$K$2)*(COUNTA($B$9:$B70)-$K$2)+$K$3,$B70&lt;=$M$2,($M$3-$L$3)/($M$2-$L$2)*(COUNTA($B$9:$B70)-$L$2)+$L$3,$B70&gt;$M$2,(100%-$M$3)/($C$4-$M$2)*(COUNTA($B$9:$B70)-$M$2)+$M$3))*100,2)</f>
        <v>77.2</v>
      </c>
      <c r="F70" s="12"/>
      <c r="G70" s="12"/>
      <c r="H70" s="12"/>
      <c r="J70" s="2">
        <f>ROUNDUP((($K$5-$J$5)*C70/100)+$J$5,0)</f>
        <v>795</v>
      </c>
      <c r="K70" s="2">
        <f t="shared" si="0"/>
        <v>398</v>
      </c>
      <c r="L70" s="19">
        <f t="shared" si="1"/>
        <v>775</v>
      </c>
      <c r="M70" s="12"/>
      <c r="N70" s="12"/>
    </row>
    <row r="71" spans="2:14" x14ac:dyDescent="0.4">
      <c r="B71" s="2">
        <v>63</v>
      </c>
      <c r="C71" s="2" cm="1">
        <f t="array" ref="C71">ROUND(IF($B71&gt;$C$4,100%,_xlfn.IFS($B71&lt;=$K$2,($K$3-$J$3)/($K$2-$J$2)*(COUNTA($B$9:$B71)-$J$2)+$J$3,$B71&lt;=$L$2,($L$3-$K$3)/($L$2-$K$2)*(COUNTA($B$9:$B71)-$K$2)+$K$3,$B71&lt;=$M$2,($M$3-$L$3)/($M$2-$L$2)*(COUNTA($B$9:$B71)-$L$2)+$L$3,$B71&gt;$M$2,(100%-$M$3)/($C$4-$M$2)*(COUNTA($B$9:$B71)-$M$2)+$M$3))*100,2)</f>
        <v>77.8</v>
      </c>
      <c r="D71" s="2" cm="1">
        <f t="array" ref="D71">ROUND(IF($B71&gt;$C$4,100%,_xlfn.IFS($B71&lt;=$K$2,($K$3-$J$3)/($K$2-$J$2)*(COUNTA($B$9:$B71)-$J$2)+$J$3,$B71&lt;=$L$2,($L$3-$K$3)/($L$2-$K$2)*(COUNTA($B$9:$B71)-$K$2)+$K$3,$B71&lt;=$M$2,($M$3-$L$3)/($M$2-$L$2)*(COUNTA($B$9:$B71)-$L$2)+$L$3,$B71&gt;$M$2,(100%-$M$3)/($C$4-$M$2)*(COUNTA($B$9:$B71)-$M$2)+$M$3))*100,2)</f>
        <v>77.8</v>
      </c>
      <c r="E71" s="2" cm="1">
        <f t="array" ref="E71">ROUND(IF($B71&gt;$C$4,100%,_xlfn.IFS($B71&lt;=$K$2,($K$3-$J$3)/($K$2-$J$2)*(COUNTA($B$9:$B71)-$J$2)+$J$3,$B71&lt;=$L$2,($L$3-$K$3)/($L$2-$K$2)*(COUNTA($B$9:$B71)-$K$2)+$K$3,$B71&lt;=$M$2,($M$3-$L$3)/($M$2-$L$2)*(COUNTA($B$9:$B71)-$L$2)+$L$3,$B71&gt;$M$2,(100%-$M$3)/($C$4-$M$2)*(COUNTA($B$9:$B71)-$M$2)+$M$3))*100,2)</f>
        <v>77.8</v>
      </c>
      <c r="F71" s="12"/>
      <c r="G71" s="12"/>
      <c r="H71" s="12"/>
      <c r="J71" s="2">
        <f>ROUNDUP((($K$5-$J$5)*C71/100)+$J$5,0)</f>
        <v>801</v>
      </c>
      <c r="K71" s="2">
        <f t="shared" si="0"/>
        <v>401</v>
      </c>
      <c r="L71" s="19">
        <f t="shared" si="1"/>
        <v>781</v>
      </c>
      <c r="M71" s="12"/>
      <c r="N71" s="12"/>
    </row>
    <row r="72" spans="2:14" x14ac:dyDescent="0.4">
      <c r="B72" s="2">
        <v>64</v>
      </c>
      <c r="C72" s="2" cm="1">
        <f t="array" ref="C72">ROUND(IF($B72&gt;$C$4,100%,_xlfn.IFS($B72&lt;=$K$2,($K$3-$J$3)/($K$2-$J$2)*(COUNTA($B$9:$B72)-$J$2)+$J$3,$B72&lt;=$L$2,($L$3-$K$3)/($L$2-$K$2)*(COUNTA($B$9:$B72)-$K$2)+$K$3,$B72&lt;=$M$2,($M$3-$L$3)/($M$2-$L$2)*(COUNTA($B$9:$B72)-$L$2)+$L$3,$B72&gt;$M$2,(100%-$M$3)/($C$4-$M$2)*(COUNTA($B$9:$B72)-$M$2)+$M$3))*100,2)</f>
        <v>78.400000000000006</v>
      </c>
      <c r="D72" s="2" cm="1">
        <f t="array" ref="D72">ROUND(IF($B72&gt;$C$4,100%,_xlfn.IFS($B72&lt;=$K$2,($K$3-$J$3)/($K$2-$J$2)*(COUNTA($B$9:$B72)-$J$2)+$J$3,$B72&lt;=$L$2,($L$3-$K$3)/($L$2-$K$2)*(COUNTA($B$9:$B72)-$K$2)+$K$3,$B72&lt;=$M$2,($M$3-$L$3)/($M$2-$L$2)*(COUNTA($B$9:$B72)-$L$2)+$L$3,$B72&gt;$M$2,(100%-$M$3)/($C$4-$M$2)*(COUNTA($B$9:$B72)-$M$2)+$M$3))*100,2)</f>
        <v>78.400000000000006</v>
      </c>
      <c r="E72" s="2" cm="1">
        <f t="array" ref="E72">ROUND(IF($B72&gt;$C$4,100%,_xlfn.IFS($B72&lt;=$K$2,($K$3-$J$3)/($K$2-$J$2)*(COUNTA($B$9:$B72)-$J$2)+$J$3,$B72&lt;=$L$2,($L$3-$K$3)/($L$2-$K$2)*(COUNTA($B$9:$B72)-$K$2)+$K$3,$B72&lt;=$M$2,($M$3-$L$3)/($M$2-$L$2)*(COUNTA($B$9:$B72)-$L$2)+$L$3,$B72&gt;$M$2,(100%-$M$3)/($C$4-$M$2)*(COUNTA($B$9:$B72)-$M$2)+$M$3))*100,2)</f>
        <v>78.400000000000006</v>
      </c>
      <c r="F72" s="12"/>
      <c r="G72" s="12"/>
      <c r="H72" s="12"/>
      <c r="J72" s="2">
        <f>ROUNDUP((($K$5-$J$5)*C72/100)+$J$5,0)</f>
        <v>806</v>
      </c>
      <c r="K72" s="2">
        <f t="shared" si="0"/>
        <v>403</v>
      </c>
      <c r="L72" s="19">
        <f t="shared" si="1"/>
        <v>787</v>
      </c>
      <c r="M72" s="12"/>
      <c r="N72" s="12"/>
    </row>
    <row r="73" spans="2:14" x14ac:dyDescent="0.4">
      <c r="B73" s="2">
        <v>65</v>
      </c>
      <c r="C73" s="2" cm="1">
        <f t="array" ref="C73">ROUND(IF($B73&gt;$C$4,100%,_xlfn.IFS($B73&lt;=$K$2,($K$3-$J$3)/($K$2-$J$2)*(COUNTA($B$9:$B73)-$J$2)+$J$3,$B73&lt;=$L$2,($L$3-$K$3)/($L$2-$K$2)*(COUNTA($B$9:$B73)-$K$2)+$K$3,$B73&lt;=$M$2,($M$3-$L$3)/($M$2-$L$2)*(COUNTA($B$9:$B73)-$L$2)+$L$3,$B73&gt;$M$2,(100%-$M$3)/($C$4-$M$2)*(COUNTA($B$9:$B73)-$M$2)+$M$3))*100,2)</f>
        <v>79</v>
      </c>
      <c r="D73" s="2" cm="1">
        <f t="array" ref="D73">ROUND(IF($B73&gt;$C$4,100%,_xlfn.IFS($B73&lt;=$K$2,($K$3-$J$3)/($K$2-$J$2)*(COUNTA($B$9:$B73)-$J$2)+$J$3,$B73&lt;=$L$2,($L$3-$K$3)/($L$2-$K$2)*(COUNTA($B$9:$B73)-$K$2)+$K$3,$B73&lt;=$M$2,($M$3-$L$3)/($M$2-$L$2)*(COUNTA($B$9:$B73)-$L$2)+$L$3,$B73&gt;$M$2,(100%-$M$3)/($C$4-$M$2)*(COUNTA($B$9:$B73)-$M$2)+$M$3))*100,2)</f>
        <v>79</v>
      </c>
      <c r="E73" s="2" cm="1">
        <f t="array" ref="E73">ROUND(IF($B73&gt;$C$4,100%,_xlfn.IFS($B73&lt;=$K$2,($K$3-$J$3)/($K$2-$J$2)*(COUNTA($B$9:$B73)-$J$2)+$J$3,$B73&lt;=$L$2,($L$3-$K$3)/($L$2-$K$2)*(COUNTA($B$9:$B73)-$K$2)+$K$3,$B73&lt;=$M$2,($M$3-$L$3)/($M$2-$L$2)*(COUNTA($B$9:$B73)-$L$2)+$L$3,$B73&gt;$M$2,(100%-$M$3)/($C$4-$M$2)*(COUNTA($B$9:$B73)-$M$2)+$M$3))*100,2)</f>
        <v>79</v>
      </c>
      <c r="F73" s="12"/>
      <c r="G73" s="12"/>
      <c r="H73" s="12"/>
      <c r="J73" s="2">
        <f>ROUNDUP((($K$5-$J$5)*C73/100)+$J$5,0)</f>
        <v>811</v>
      </c>
      <c r="K73" s="2">
        <f t="shared" ref="K73:K108" si="2">ROUNDUP((($O$5-$N$5)*D73/100)+$N$5,0)</f>
        <v>406</v>
      </c>
      <c r="L73" s="19">
        <f t="shared" si="1"/>
        <v>793</v>
      </c>
      <c r="M73" s="12"/>
      <c r="N73" s="12"/>
    </row>
    <row r="74" spans="2:14" x14ac:dyDescent="0.4">
      <c r="B74" s="2">
        <v>66</v>
      </c>
      <c r="C74" s="2" cm="1">
        <f t="array" ref="C74">ROUND(IF($B74&gt;$C$4,100%,_xlfn.IFS($B74&lt;=$K$2,($K$3-$J$3)/($K$2-$J$2)*(COUNTA($B$9:$B74)-$J$2)+$J$3,$B74&lt;=$L$2,($L$3-$K$3)/($L$2-$K$2)*(COUNTA($B$9:$B74)-$K$2)+$K$3,$B74&lt;=$M$2,($M$3-$L$3)/($M$2-$L$2)*(COUNTA($B$9:$B74)-$L$2)+$L$3,$B74&gt;$M$2,(100%-$M$3)/($C$4-$M$2)*(COUNTA($B$9:$B74)-$M$2)+$M$3))*100,2)</f>
        <v>79.599999999999994</v>
      </c>
      <c r="D74" s="2" cm="1">
        <f t="array" ref="D74">ROUND(IF($B74&gt;$C$4,100%,_xlfn.IFS($B74&lt;=$K$2,($K$3-$J$3)/($K$2-$J$2)*(COUNTA($B$9:$B74)-$J$2)+$J$3,$B74&lt;=$L$2,($L$3-$K$3)/($L$2-$K$2)*(COUNTA($B$9:$B74)-$K$2)+$K$3,$B74&lt;=$M$2,($M$3-$L$3)/($M$2-$L$2)*(COUNTA($B$9:$B74)-$L$2)+$L$3,$B74&gt;$M$2,(100%-$M$3)/($C$4-$M$2)*(COUNTA($B$9:$B74)-$M$2)+$M$3))*100,2)</f>
        <v>79.599999999999994</v>
      </c>
      <c r="E74" s="2" cm="1">
        <f t="array" ref="E74">ROUND(IF($B74&gt;$C$4,100%,_xlfn.IFS($B74&lt;=$K$2,($K$3-$J$3)/($K$2-$J$2)*(COUNTA($B$9:$B74)-$J$2)+$J$3,$B74&lt;=$L$2,($L$3-$K$3)/($L$2-$K$2)*(COUNTA($B$9:$B74)-$K$2)+$K$3,$B74&lt;=$M$2,($M$3-$L$3)/($M$2-$L$2)*(COUNTA($B$9:$B74)-$L$2)+$L$3,$B74&gt;$M$2,(100%-$M$3)/($C$4-$M$2)*(COUNTA($B$9:$B74)-$M$2)+$M$3))*100,2)</f>
        <v>79.599999999999994</v>
      </c>
      <c r="F74" s="12"/>
      <c r="G74" s="12"/>
      <c r="H74" s="12"/>
      <c r="J74" s="2">
        <f>ROUNDUP((($K$5-$J$5)*C74/100)+$J$5,0)</f>
        <v>817</v>
      </c>
      <c r="K74" s="2">
        <f t="shared" si="2"/>
        <v>409</v>
      </c>
      <c r="L74" s="19">
        <f t="shared" ref="L74:L108" si="3">ROUNDUP((($M$5-$L$5)*E74/100)+$L$5,0)</f>
        <v>799</v>
      </c>
      <c r="M74" s="12"/>
      <c r="N74" s="12"/>
    </row>
    <row r="75" spans="2:14" x14ac:dyDescent="0.4">
      <c r="B75" s="2">
        <v>67</v>
      </c>
      <c r="C75" s="2" cm="1">
        <f t="array" ref="C75">ROUND(IF($B75&gt;$C$4,100%,_xlfn.IFS($B75&lt;=$K$2,($K$3-$J$3)/($K$2-$J$2)*(COUNTA($B$9:$B75)-$J$2)+$J$3,$B75&lt;=$L$2,($L$3-$K$3)/($L$2-$K$2)*(COUNTA($B$9:$B75)-$K$2)+$K$3,$B75&lt;=$M$2,($M$3-$L$3)/($M$2-$L$2)*(COUNTA($B$9:$B75)-$L$2)+$L$3,$B75&gt;$M$2,(100%-$M$3)/($C$4-$M$2)*(COUNTA($B$9:$B75)-$M$2)+$M$3))*100,2)</f>
        <v>80.2</v>
      </c>
      <c r="D75" s="2" cm="1">
        <f t="array" ref="D75">ROUND(IF($B75&gt;$C$4,100%,_xlfn.IFS($B75&lt;=$K$2,($K$3-$J$3)/($K$2-$J$2)*(COUNTA($B$9:$B75)-$J$2)+$J$3,$B75&lt;=$L$2,($L$3-$K$3)/($L$2-$K$2)*(COUNTA($B$9:$B75)-$K$2)+$K$3,$B75&lt;=$M$2,($M$3-$L$3)/($M$2-$L$2)*(COUNTA($B$9:$B75)-$L$2)+$L$3,$B75&gt;$M$2,(100%-$M$3)/($C$4-$M$2)*(COUNTA($B$9:$B75)-$M$2)+$M$3))*100,2)</f>
        <v>80.2</v>
      </c>
      <c r="E75" s="2" cm="1">
        <f t="array" ref="E75">ROUND(IF($B75&gt;$C$4,100%,_xlfn.IFS($B75&lt;=$K$2,($K$3-$J$3)/($K$2-$J$2)*(COUNTA($B$9:$B75)-$J$2)+$J$3,$B75&lt;=$L$2,($L$3-$K$3)/($L$2-$K$2)*(COUNTA($B$9:$B75)-$K$2)+$K$3,$B75&lt;=$M$2,($M$3-$L$3)/($M$2-$L$2)*(COUNTA($B$9:$B75)-$L$2)+$L$3,$B75&gt;$M$2,(100%-$M$3)/($C$4-$M$2)*(COUNTA($B$9:$B75)-$M$2)+$M$3))*100,2)</f>
        <v>80.2</v>
      </c>
      <c r="F75" s="12"/>
      <c r="G75" s="12"/>
      <c r="H75" s="12"/>
      <c r="J75" s="2">
        <f>ROUNDUP((($K$5-$J$5)*C75/100)+$J$5,0)</f>
        <v>822</v>
      </c>
      <c r="K75" s="2">
        <f t="shared" si="2"/>
        <v>411</v>
      </c>
      <c r="L75" s="19">
        <f t="shared" si="3"/>
        <v>804</v>
      </c>
      <c r="M75" s="12"/>
      <c r="N75" s="12"/>
    </row>
    <row r="76" spans="2:14" x14ac:dyDescent="0.4">
      <c r="B76" s="2">
        <v>68</v>
      </c>
      <c r="C76" s="2" cm="1">
        <f t="array" ref="C76">ROUND(IF($B76&gt;$C$4,100%,_xlfn.IFS($B76&lt;=$K$2,($K$3-$J$3)/($K$2-$J$2)*(COUNTA($B$9:$B76)-$J$2)+$J$3,$B76&lt;=$L$2,($L$3-$K$3)/($L$2-$K$2)*(COUNTA($B$9:$B76)-$K$2)+$K$3,$B76&lt;=$M$2,($M$3-$L$3)/($M$2-$L$2)*(COUNTA($B$9:$B76)-$L$2)+$L$3,$B76&gt;$M$2,(100%-$M$3)/($C$4-$M$2)*(COUNTA($B$9:$B76)-$M$2)+$M$3))*100,2)</f>
        <v>80.8</v>
      </c>
      <c r="D76" s="2" cm="1">
        <f t="array" ref="D76">ROUND(IF($B76&gt;$C$4,100%,_xlfn.IFS($B76&lt;=$K$2,($K$3-$J$3)/($K$2-$J$2)*(COUNTA($B$9:$B76)-$J$2)+$J$3,$B76&lt;=$L$2,($L$3-$K$3)/($L$2-$K$2)*(COUNTA($B$9:$B76)-$K$2)+$K$3,$B76&lt;=$M$2,($M$3-$L$3)/($M$2-$L$2)*(COUNTA($B$9:$B76)-$L$2)+$L$3,$B76&gt;$M$2,(100%-$M$3)/($C$4-$M$2)*(COUNTA($B$9:$B76)-$M$2)+$M$3))*100,2)</f>
        <v>80.8</v>
      </c>
      <c r="E76" s="2" cm="1">
        <f t="array" ref="E76">ROUND(IF($B76&gt;$C$4,100%,_xlfn.IFS($B76&lt;=$K$2,($K$3-$J$3)/($K$2-$J$2)*(COUNTA($B$9:$B76)-$J$2)+$J$3,$B76&lt;=$L$2,($L$3-$K$3)/($L$2-$K$2)*(COUNTA($B$9:$B76)-$K$2)+$K$3,$B76&lt;=$M$2,($M$3-$L$3)/($M$2-$L$2)*(COUNTA($B$9:$B76)-$L$2)+$L$3,$B76&gt;$M$2,(100%-$M$3)/($C$4-$M$2)*(COUNTA($B$9:$B76)-$M$2)+$M$3))*100,2)</f>
        <v>80.8</v>
      </c>
      <c r="F76" s="12"/>
      <c r="G76" s="12"/>
      <c r="H76" s="12"/>
      <c r="J76" s="2">
        <f>ROUNDUP((($K$5-$J$5)*C76/100)+$J$5,0)</f>
        <v>828</v>
      </c>
      <c r="K76" s="2">
        <f t="shared" si="2"/>
        <v>414</v>
      </c>
      <c r="L76" s="19">
        <f t="shared" si="3"/>
        <v>810</v>
      </c>
      <c r="M76" s="12"/>
      <c r="N76" s="12"/>
    </row>
    <row r="77" spans="2:14" x14ac:dyDescent="0.4">
      <c r="B77" s="2">
        <v>69</v>
      </c>
      <c r="C77" s="2" cm="1">
        <f t="array" ref="C77">ROUND(IF($B77&gt;$C$4,100%,_xlfn.IFS($B77&lt;=$K$2,($K$3-$J$3)/($K$2-$J$2)*(COUNTA($B$9:$B77)-$J$2)+$J$3,$B77&lt;=$L$2,($L$3-$K$3)/($L$2-$K$2)*(COUNTA($B$9:$B77)-$K$2)+$K$3,$B77&lt;=$M$2,($M$3-$L$3)/($M$2-$L$2)*(COUNTA($B$9:$B77)-$L$2)+$L$3,$B77&gt;$M$2,(100%-$M$3)/($C$4-$M$2)*(COUNTA($B$9:$B77)-$M$2)+$M$3))*100,2)</f>
        <v>81.400000000000006</v>
      </c>
      <c r="D77" s="2" cm="1">
        <f t="array" ref="D77">ROUND(IF($B77&gt;$C$4,100%,_xlfn.IFS($B77&lt;=$K$2,($K$3-$J$3)/($K$2-$J$2)*(COUNTA($B$9:$B77)-$J$2)+$J$3,$B77&lt;=$L$2,($L$3-$K$3)/($L$2-$K$2)*(COUNTA($B$9:$B77)-$K$2)+$K$3,$B77&lt;=$M$2,($M$3-$L$3)/($M$2-$L$2)*(COUNTA($B$9:$B77)-$L$2)+$L$3,$B77&gt;$M$2,(100%-$M$3)/($C$4-$M$2)*(COUNTA($B$9:$B77)-$M$2)+$M$3))*100,2)</f>
        <v>81.400000000000006</v>
      </c>
      <c r="E77" s="2" cm="1">
        <f t="array" ref="E77">ROUND(IF($B77&gt;$C$4,100%,_xlfn.IFS($B77&lt;=$K$2,($K$3-$J$3)/($K$2-$J$2)*(COUNTA($B$9:$B77)-$J$2)+$J$3,$B77&lt;=$L$2,($L$3-$K$3)/($L$2-$K$2)*(COUNTA($B$9:$B77)-$K$2)+$K$3,$B77&lt;=$M$2,($M$3-$L$3)/($M$2-$L$2)*(COUNTA($B$9:$B77)-$L$2)+$L$3,$B77&gt;$M$2,(100%-$M$3)/($C$4-$M$2)*(COUNTA($B$9:$B77)-$M$2)+$M$3))*100,2)</f>
        <v>81.400000000000006</v>
      </c>
      <c r="F77" s="12"/>
      <c r="G77" s="12"/>
      <c r="H77" s="12"/>
      <c r="J77" s="2">
        <f>ROUNDUP((($K$5-$J$5)*C77/100)+$J$5,0)</f>
        <v>833</v>
      </c>
      <c r="K77" s="2">
        <f t="shared" si="2"/>
        <v>417</v>
      </c>
      <c r="L77" s="19">
        <f t="shared" si="3"/>
        <v>816</v>
      </c>
      <c r="M77" s="12"/>
      <c r="N77" s="12"/>
    </row>
    <row r="78" spans="2:14" x14ac:dyDescent="0.4">
      <c r="B78" s="2">
        <v>70</v>
      </c>
      <c r="C78" s="2" cm="1">
        <f t="array" ref="C78">ROUND(IF($B78&gt;$C$4,100%,_xlfn.IFS($B78&lt;=$K$2,($K$3-$J$3)/($K$2-$J$2)*(COUNTA($B$9:$B78)-$J$2)+$J$3,$B78&lt;=$L$2,($L$3-$K$3)/($L$2-$K$2)*(COUNTA($B$9:$B78)-$K$2)+$K$3,$B78&lt;=$M$2,($M$3-$L$3)/($M$2-$L$2)*(COUNTA($B$9:$B78)-$L$2)+$L$3,$B78&gt;$M$2,(100%-$M$3)/($C$4-$M$2)*(COUNTA($B$9:$B78)-$M$2)+$M$3))*100,2)</f>
        <v>82</v>
      </c>
      <c r="D78" s="2" cm="1">
        <f t="array" ref="D78">ROUND(IF($B78&gt;$C$4,100%,_xlfn.IFS($B78&lt;=$K$2,($K$3-$J$3)/($K$2-$J$2)*(COUNTA($B$9:$B78)-$J$2)+$J$3,$B78&lt;=$L$2,($L$3-$K$3)/($L$2-$K$2)*(COUNTA($B$9:$B78)-$K$2)+$K$3,$B78&lt;=$M$2,($M$3-$L$3)/($M$2-$L$2)*(COUNTA($B$9:$B78)-$L$2)+$L$3,$B78&gt;$M$2,(100%-$M$3)/($C$4-$M$2)*(COUNTA($B$9:$B78)-$M$2)+$M$3))*100,2)</f>
        <v>82</v>
      </c>
      <c r="E78" s="2" cm="1">
        <f t="array" ref="E78">ROUND(IF($B78&gt;$C$4,100%,_xlfn.IFS($B78&lt;=$K$2,($K$3-$J$3)/($K$2-$J$2)*(COUNTA($B$9:$B78)-$J$2)+$J$3,$B78&lt;=$L$2,($L$3-$K$3)/($L$2-$K$2)*(COUNTA($B$9:$B78)-$K$2)+$K$3,$B78&lt;=$M$2,($M$3-$L$3)/($M$2-$L$2)*(COUNTA($B$9:$B78)-$L$2)+$L$3,$B78&gt;$M$2,(100%-$M$3)/($C$4-$M$2)*(COUNTA($B$9:$B78)-$M$2)+$M$3))*100,2)</f>
        <v>82</v>
      </c>
      <c r="F78" s="12"/>
      <c r="G78" s="12"/>
      <c r="H78" s="12"/>
      <c r="J78" s="2">
        <f>ROUNDUP((($K$5-$J$5)*C78/100)+$J$5,0)</f>
        <v>838</v>
      </c>
      <c r="K78" s="2">
        <f t="shared" si="2"/>
        <v>419</v>
      </c>
      <c r="L78" s="19">
        <f t="shared" si="3"/>
        <v>822</v>
      </c>
      <c r="M78" s="12"/>
      <c r="N78" s="12"/>
    </row>
    <row r="79" spans="2:14" x14ac:dyDescent="0.4">
      <c r="B79" s="2">
        <v>71</v>
      </c>
      <c r="C79" s="2" cm="1">
        <f t="array" ref="C79">ROUND(IF($B79&gt;$C$4,100%,_xlfn.IFS($B79&lt;=$K$2,($K$3-$J$3)/($K$2-$J$2)*(COUNTA($B$9:$B79)-$J$2)+$J$3,$B79&lt;=$L$2,($L$3-$K$3)/($L$2-$K$2)*(COUNTA($B$9:$B79)-$K$2)+$K$3,$B79&lt;=$M$2,($M$3-$L$3)/($M$2-$L$2)*(COUNTA($B$9:$B79)-$L$2)+$L$3,$B79&gt;$M$2,(100%-$M$3)/($C$4-$M$2)*(COUNTA($B$9:$B79)-$M$2)+$M$3))*100,2)</f>
        <v>82.6</v>
      </c>
      <c r="D79" s="2" cm="1">
        <f t="array" ref="D79">ROUND(IF($B79&gt;$C$4,100%,_xlfn.IFS($B79&lt;=$K$2,($K$3-$J$3)/($K$2-$J$2)*(COUNTA($B$9:$B79)-$J$2)+$J$3,$B79&lt;=$L$2,($L$3-$K$3)/($L$2-$K$2)*(COUNTA($B$9:$B79)-$K$2)+$K$3,$B79&lt;=$M$2,($M$3-$L$3)/($M$2-$L$2)*(COUNTA($B$9:$B79)-$L$2)+$L$3,$B79&gt;$M$2,(100%-$M$3)/($C$4-$M$2)*(COUNTA($B$9:$B79)-$M$2)+$M$3))*100,2)</f>
        <v>82.6</v>
      </c>
      <c r="E79" s="2" cm="1">
        <f t="array" ref="E79">ROUND(IF($B79&gt;$C$4,100%,_xlfn.IFS($B79&lt;=$K$2,($K$3-$J$3)/($K$2-$J$2)*(COUNTA($B$9:$B79)-$J$2)+$J$3,$B79&lt;=$L$2,($L$3-$K$3)/($L$2-$K$2)*(COUNTA($B$9:$B79)-$K$2)+$K$3,$B79&lt;=$M$2,($M$3-$L$3)/($M$2-$L$2)*(COUNTA($B$9:$B79)-$L$2)+$L$3,$B79&gt;$M$2,(100%-$M$3)/($C$4-$M$2)*(COUNTA($B$9:$B79)-$M$2)+$M$3))*100,2)</f>
        <v>82.6</v>
      </c>
      <c r="F79" s="12"/>
      <c r="G79" s="12"/>
      <c r="H79" s="12"/>
      <c r="J79" s="2">
        <f>ROUNDUP((($K$5-$J$5)*C79/100)+$J$5,0)</f>
        <v>844</v>
      </c>
      <c r="K79" s="2">
        <f t="shared" si="2"/>
        <v>422</v>
      </c>
      <c r="L79" s="19">
        <f t="shared" si="3"/>
        <v>828</v>
      </c>
      <c r="M79" s="12"/>
      <c r="N79" s="12"/>
    </row>
    <row r="80" spans="2:14" x14ac:dyDescent="0.4">
      <c r="B80" s="2">
        <v>72</v>
      </c>
      <c r="C80" s="2" cm="1">
        <f t="array" ref="C80">ROUND(IF($B80&gt;$C$4,100%,_xlfn.IFS($B80&lt;=$K$2,($K$3-$J$3)/($K$2-$J$2)*(COUNTA($B$9:$B80)-$J$2)+$J$3,$B80&lt;=$L$2,($L$3-$K$3)/($L$2-$K$2)*(COUNTA($B$9:$B80)-$K$2)+$K$3,$B80&lt;=$M$2,($M$3-$L$3)/($M$2-$L$2)*(COUNTA($B$9:$B80)-$L$2)+$L$3,$B80&gt;$M$2,(100%-$M$3)/($C$4-$M$2)*(COUNTA($B$9:$B80)-$M$2)+$M$3))*100,2)</f>
        <v>83.2</v>
      </c>
      <c r="D80" s="2" cm="1">
        <f t="array" ref="D80">ROUND(IF($B80&gt;$C$4,100%,_xlfn.IFS($B80&lt;=$K$2,($K$3-$J$3)/($K$2-$J$2)*(COUNTA($B$9:$B80)-$J$2)+$J$3,$B80&lt;=$L$2,($L$3-$K$3)/($L$2-$K$2)*(COUNTA($B$9:$B80)-$K$2)+$K$3,$B80&lt;=$M$2,($M$3-$L$3)/($M$2-$L$2)*(COUNTA($B$9:$B80)-$L$2)+$L$3,$B80&gt;$M$2,(100%-$M$3)/($C$4-$M$2)*(COUNTA($B$9:$B80)-$M$2)+$M$3))*100,2)</f>
        <v>83.2</v>
      </c>
      <c r="E80" s="2" cm="1">
        <f t="array" ref="E80">ROUND(IF($B80&gt;$C$4,100%,_xlfn.IFS($B80&lt;=$K$2,($K$3-$J$3)/($K$2-$J$2)*(COUNTA($B$9:$B80)-$J$2)+$J$3,$B80&lt;=$L$2,($L$3-$K$3)/($L$2-$K$2)*(COUNTA($B$9:$B80)-$K$2)+$K$3,$B80&lt;=$M$2,($M$3-$L$3)/($M$2-$L$2)*(COUNTA($B$9:$B80)-$L$2)+$L$3,$B80&gt;$M$2,(100%-$M$3)/($C$4-$M$2)*(COUNTA($B$9:$B80)-$M$2)+$M$3))*100,2)</f>
        <v>83.2</v>
      </c>
      <c r="F80" s="12"/>
      <c r="G80" s="12"/>
      <c r="H80" s="12"/>
      <c r="J80" s="2">
        <f>ROUNDUP((($K$5-$J$5)*C80/100)+$J$5,0)</f>
        <v>849</v>
      </c>
      <c r="K80" s="2">
        <f t="shared" si="2"/>
        <v>425</v>
      </c>
      <c r="L80" s="19">
        <f t="shared" si="3"/>
        <v>834</v>
      </c>
      <c r="M80" s="12"/>
      <c r="N80" s="12"/>
    </row>
    <row r="81" spans="2:14" x14ac:dyDescent="0.4">
      <c r="B81" s="2">
        <v>73</v>
      </c>
      <c r="C81" s="2" cm="1">
        <f t="array" ref="C81">ROUND(IF($B81&gt;$C$4,100%,_xlfn.IFS($B81&lt;=$K$2,($K$3-$J$3)/($K$2-$J$2)*(COUNTA($B$9:$B81)-$J$2)+$J$3,$B81&lt;=$L$2,($L$3-$K$3)/($L$2-$K$2)*(COUNTA($B$9:$B81)-$K$2)+$K$3,$B81&lt;=$M$2,($M$3-$L$3)/($M$2-$L$2)*(COUNTA($B$9:$B81)-$L$2)+$L$3,$B81&gt;$M$2,(100%-$M$3)/($C$4-$M$2)*(COUNTA($B$9:$B81)-$M$2)+$M$3))*100,2)</f>
        <v>83.8</v>
      </c>
      <c r="D81" s="2" cm="1">
        <f t="array" ref="D81">ROUND(IF($B81&gt;$C$4,100%,_xlfn.IFS($B81&lt;=$K$2,($K$3-$J$3)/($K$2-$J$2)*(COUNTA($B$9:$B81)-$J$2)+$J$3,$B81&lt;=$L$2,($L$3-$K$3)/($L$2-$K$2)*(COUNTA($B$9:$B81)-$K$2)+$K$3,$B81&lt;=$M$2,($M$3-$L$3)/($M$2-$L$2)*(COUNTA($B$9:$B81)-$L$2)+$L$3,$B81&gt;$M$2,(100%-$M$3)/($C$4-$M$2)*(COUNTA($B$9:$B81)-$M$2)+$M$3))*100,2)</f>
        <v>83.8</v>
      </c>
      <c r="E81" s="2" cm="1">
        <f t="array" ref="E81">ROUND(IF($B81&gt;$C$4,100%,_xlfn.IFS($B81&lt;=$K$2,($K$3-$J$3)/($K$2-$J$2)*(COUNTA($B$9:$B81)-$J$2)+$J$3,$B81&lt;=$L$2,($L$3-$K$3)/($L$2-$K$2)*(COUNTA($B$9:$B81)-$K$2)+$K$3,$B81&lt;=$M$2,($M$3-$L$3)/($M$2-$L$2)*(COUNTA($B$9:$B81)-$L$2)+$L$3,$B81&gt;$M$2,(100%-$M$3)/($C$4-$M$2)*(COUNTA($B$9:$B81)-$M$2)+$M$3))*100,2)</f>
        <v>83.8</v>
      </c>
      <c r="F81" s="12"/>
      <c r="G81" s="12"/>
      <c r="H81" s="12"/>
      <c r="J81" s="2">
        <f>ROUNDUP((($K$5-$J$5)*C81/100)+$J$5,0)</f>
        <v>855</v>
      </c>
      <c r="K81" s="2">
        <f t="shared" si="2"/>
        <v>428</v>
      </c>
      <c r="L81" s="19">
        <f t="shared" si="3"/>
        <v>840</v>
      </c>
      <c r="M81" s="12"/>
      <c r="N81" s="12"/>
    </row>
    <row r="82" spans="2:14" x14ac:dyDescent="0.4">
      <c r="B82" s="2">
        <v>74</v>
      </c>
      <c r="C82" s="2" cm="1">
        <f t="array" ref="C82">ROUND(IF($B82&gt;$C$4,100%,_xlfn.IFS($B82&lt;=$K$2,($K$3-$J$3)/($K$2-$J$2)*(COUNTA($B$9:$B82)-$J$2)+$J$3,$B82&lt;=$L$2,($L$3-$K$3)/($L$2-$K$2)*(COUNTA($B$9:$B82)-$K$2)+$K$3,$B82&lt;=$M$2,($M$3-$L$3)/($M$2-$L$2)*(COUNTA($B$9:$B82)-$L$2)+$L$3,$B82&gt;$M$2,(100%-$M$3)/($C$4-$M$2)*(COUNTA($B$9:$B82)-$M$2)+$M$3))*100,2)</f>
        <v>84.4</v>
      </c>
      <c r="D82" s="2" cm="1">
        <f t="array" ref="D82">ROUND(IF($B82&gt;$C$4,100%,_xlfn.IFS($B82&lt;=$K$2,($K$3-$J$3)/($K$2-$J$2)*(COUNTA($B$9:$B82)-$J$2)+$J$3,$B82&lt;=$L$2,($L$3-$K$3)/($L$2-$K$2)*(COUNTA($B$9:$B82)-$K$2)+$K$3,$B82&lt;=$M$2,($M$3-$L$3)/($M$2-$L$2)*(COUNTA($B$9:$B82)-$L$2)+$L$3,$B82&gt;$M$2,(100%-$M$3)/($C$4-$M$2)*(COUNTA($B$9:$B82)-$M$2)+$M$3))*100,2)</f>
        <v>84.4</v>
      </c>
      <c r="E82" s="2" cm="1">
        <f t="array" ref="E82">ROUND(IF($B82&gt;$C$4,100%,_xlfn.IFS($B82&lt;=$K$2,($K$3-$J$3)/($K$2-$J$2)*(COUNTA($B$9:$B82)-$J$2)+$J$3,$B82&lt;=$L$2,($L$3-$K$3)/($L$2-$K$2)*(COUNTA($B$9:$B82)-$K$2)+$K$3,$B82&lt;=$M$2,($M$3-$L$3)/($M$2-$L$2)*(COUNTA($B$9:$B82)-$L$2)+$L$3,$B82&gt;$M$2,(100%-$M$3)/($C$4-$M$2)*(COUNTA($B$9:$B82)-$M$2)+$M$3))*100,2)</f>
        <v>84.4</v>
      </c>
      <c r="F82" s="12"/>
      <c r="G82" s="12"/>
      <c r="H82" s="12"/>
      <c r="J82" s="2">
        <f>ROUNDUP((($K$5-$J$5)*C82/100)+$J$5,0)</f>
        <v>860</v>
      </c>
      <c r="K82" s="2">
        <f t="shared" si="2"/>
        <v>430</v>
      </c>
      <c r="L82" s="19">
        <f t="shared" si="3"/>
        <v>846</v>
      </c>
      <c r="M82" s="12"/>
      <c r="N82" s="12"/>
    </row>
    <row r="83" spans="2:14" x14ac:dyDescent="0.4">
      <c r="B83" s="2">
        <v>75</v>
      </c>
      <c r="C83" s="2" cm="1">
        <f t="array" ref="C83">ROUND(IF($B83&gt;$C$4,100%,_xlfn.IFS($B83&lt;=$K$2,($K$3-$J$3)/($K$2-$J$2)*(COUNTA($B$9:$B83)-$J$2)+$J$3,$B83&lt;=$L$2,($L$3-$K$3)/($L$2-$K$2)*(COUNTA($B$9:$B83)-$K$2)+$K$3,$B83&lt;=$M$2,($M$3-$L$3)/($M$2-$L$2)*(COUNTA($B$9:$B83)-$L$2)+$L$3,$B83&gt;$M$2,(100%-$M$3)/($C$4-$M$2)*(COUNTA($B$9:$B83)-$M$2)+$M$3))*100,2)</f>
        <v>85</v>
      </c>
      <c r="D83" s="2" cm="1">
        <f t="array" ref="D83">ROUND(IF($B83&gt;$C$4,100%,_xlfn.IFS($B83&lt;=$K$2,($K$3-$J$3)/($K$2-$J$2)*(COUNTA($B$9:$B83)-$J$2)+$J$3,$B83&lt;=$L$2,($L$3-$K$3)/($L$2-$K$2)*(COUNTA($B$9:$B83)-$K$2)+$K$3,$B83&lt;=$M$2,($M$3-$L$3)/($M$2-$L$2)*(COUNTA($B$9:$B83)-$L$2)+$L$3,$B83&gt;$M$2,(100%-$M$3)/($C$4-$M$2)*(COUNTA($B$9:$B83)-$M$2)+$M$3))*100,2)</f>
        <v>85</v>
      </c>
      <c r="E83" s="2" cm="1">
        <f t="array" ref="E83">ROUND(IF($B83&gt;$C$4,100%,_xlfn.IFS($B83&lt;=$K$2,($K$3-$J$3)/($K$2-$J$2)*(COUNTA($B$9:$B83)-$J$2)+$J$3,$B83&lt;=$L$2,($L$3-$K$3)/($L$2-$K$2)*(COUNTA($B$9:$B83)-$K$2)+$K$3,$B83&lt;=$M$2,($M$3-$L$3)/($M$2-$L$2)*(COUNTA($B$9:$B83)-$L$2)+$L$3,$B83&gt;$M$2,(100%-$M$3)/($C$4-$M$2)*(COUNTA($B$9:$B83)-$M$2)+$M$3))*100,2)</f>
        <v>85</v>
      </c>
      <c r="F83" s="12"/>
      <c r="G83" s="12"/>
      <c r="H83" s="12"/>
      <c r="J83" s="2">
        <f>ROUNDUP((($K$5-$J$5)*C83/100)+$J$5,0)</f>
        <v>865</v>
      </c>
      <c r="K83" s="2">
        <f t="shared" si="2"/>
        <v>433</v>
      </c>
      <c r="L83" s="19">
        <f t="shared" si="3"/>
        <v>852</v>
      </c>
      <c r="M83" s="12"/>
      <c r="N83" s="12"/>
    </row>
    <row r="84" spans="2:14" x14ac:dyDescent="0.4">
      <c r="B84" s="2">
        <v>76</v>
      </c>
      <c r="C84" s="2" cm="1">
        <f t="array" ref="C84">ROUND(IF($B84&gt;$C$4,100%,_xlfn.IFS($B84&lt;=$K$2,($K$3-$J$3)/($K$2-$J$2)*(COUNTA($B$9:$B84)-$J$2)+$J$3,$B84&lt;=$L$2,($L$3-$K$3)/($L$2-$K$2)*(COUNTA($B$9:$B84)-$K$2)+$K$3,$B84&lt;=$M$2,($M$3-$L$3)/($M$2-$L$2)*(COUNTA($B$9:$B84)-$L$2)+$L$3,$B84&gt;$M$2,(100%-$M$3)/($C$4-$M$2)*(COUNTA($B$9:$B84)-$M$2)+$M$3))*100,2)</f>
        <v>85.6</v>
      </c>
      <c r="D84" s="2" cm="1">
        <f t="array" ref="D84">ROUND(IF($B84&gt;$C$4,100%,_xlfn.IFS($B84&lt;=$K$2,($K$3-$J$3)/($K$2-$J$2)*(COUNTA($B$9:$B84)-$J$2)+$J$3,$B84&lt;=$L$2,($L$3-$K$3)/($L$2-$K$2)*(COUNTA($B$9:$B84)-$K$2)+$K$3,$B84&lt;=$M$2,($M$3-$L$3)/($M$2-$L$2)*(COUNTA($B$9:$B84)-$L$2)+$L$3,$B84&gt;$M$2,(100%-$M$3)/($C$4-$M$2)*(COUNTA($B$9:$B84)-$M$2)+$M$3))*100,2)</f>
        <v>85.6</v>
      </c>
      <c r="E84" s="2" cm="1">
        <f t="array" ref="E84">ROUND(IF($B84&gt;$C$4,100%,_xlfn.IFS($B84&lt;=$K$2,($K$3-$J$3)/($K$2-$J$2)*(COUNTA($B$9:$B84)-$J$2)+$J$3,$B84&lt;=$L$2,($L$3-$K$3)/($L$2-$K$2)*(COUNTA($B$9:$B84)-$K$2)+$K$3,$B84&lt;=$M$2,($M$3-$L$3)/($M$2-$L$2)*(COUNTA($B$9:$B84)-$L$2)+$L$3,$B84&gt;$M$2,(100%-$M$3)/($C$4-$M$2)*(COUNTA($B$9:$B84)-$M$2)+$M$3))*100,2)</f>
        <v>85.6</v>
      </c>
      <c r="F84" s="12"/>
      <c r="G84" s="12"/>
      <c r="H84" s="12"/>
      <c r="J84" s="2">
        <f>ROUNDUP((($K$5-$J$5)*C84/100)+$J$5,0)</f>
        <v>871</v>
      </c>
      <c r="K84" s="2">
        <f t="shared" si="2"/>
        <v>436</v>
      </c>
      <c r="L84" s="19">
        <f t="shared" si="3"/>
        <v>858</v>
      </c>
      <c r="M84" s="12"/>
      <c r="N84" s="12"/>
    </row>
    <row r="85" spans="2:14" x14ac:dyDescent="0.4">
      <c r="B85" s="2">
        <v>77</v>
      </c>
      <c r="C85" s="2" cm="1">
        <f t="array" ref="C85">ROUND(IF($B85&gt;$C$4,100%,_xlfn.IFS($B85&lt;=$K$2,($K$3-$J$3)/($K$2-$J$2)*(COUNTA($B$9:$B85)-$J$2)+$J$3,$B85&lt;=$L$2,($L$3-$K$3)/($L$2-$K$2)*(COUNTA($B$9:$B85)-$K$2)+$K$3,$B85&lt;=$M$2,($M$3-$L$3)/($M$2-$L$2)*(COUNTA($B$9:$B85)-$L$2)+$L$3,$B85&gt;$M$2,(100%-$M$3)/($C$4-$M$2)*(COUNTA($B$9:$B85)-$M$2)+$M$3))*100,2)</f>
        <v>86.2</v>
      </c>
      <c r="D85" s="2" cm="1">
        <f t="array" ref="D85">ROUND(IF($B85&gt;$C$4,100%,_xlfn.IFS($B85&lt;=$K$2,($K$3-$J$3)/($K$2-$J$2)*(COUNTA($B$9:$B85)-$J$2)+$J$3,$B85&lt;=$L$2,($L$3-$K$3)/($L$2-$K$2)*(COUNTA($B$9:$B85)-$K$2)+$K$3,$B85&lt;=$M$2,($M$3-$L$3)/($M$2-$L$2)*(COUNTA($B$9:$B85)-$L$2)+$L$3,$B85&gt;$M$2,(100%-$M$3)/($C$4-$M$2)*(COUNTA($B$9:$B85)-$M$2)+$M$3))*100,2)</f>
        <v>86.2</v>
      </c>
      <c r="E85" s="2" cm="1">
        <f t="array" ref="E85">ROUND(IF($B85&gt;$C$4,100%,_xlfn.IFS($B85&lt;=$K$2,($K$3-$J$3)/($K$2-$J$2)*(COUNTA($B$9:$B85)-$J$2)+$J$3,$B85&lt;=$L$2,($L$3-$K$3)/($L$2-$K$2)*(COUNTA($B$9:$B85)-$K$2)+$K$3,$B85&lt;=$M$2,($M$3-$L$3)/($M$2-$L$2)*(COUNTA($B$9:$B85)-$L$2)+$L$3,$B85&gt;$M$2,(100%-$M$3)/($C$4-$M$2)*(COUNTA($B$9:$B85)-$M$2)+$M$3))*100,2)</f>
        <v>86.2</v>
      </c>
      <c r="F85" s="12"/>
      <c r="G85" s="12"/>
      <c r="H85" s="12"/>
      <c r="J85" s="2">
        <f>ROUNDUP((($K$5-$J$5)*C85/100)+$J$5,0)</f>
        <v>876</v>
      </c>
      <c r="K85" s="2">
        <f t="shared" si="2"/>
        <v>438</v>
      </c>
      <c r="L85" s="19">
        <f t="shared" si="3"/>
        <v>864</v>
      </c>
      <c r="M85" s="12"/>
      <c r="N85" s="12"/>
    </row>
    <row r="86" spans="2:14" x14ac:dyDescent="0.4">
      <c r="B86" s="2">
        <v>78</v>
      </c>
      <c r="C86" s="2" cm="1">
        <f t="array" ref="C86">ROUND(IF($B86&gt;$C$4,100%,_xlfn.IFS($B86&lt;=$K$2,($K$3-$J$3)/($K$2-$J$2)*(COUNTA($B$9:$B86)-$J$2)+$J$3,$B86&lt;=$L$2,($L$3-$K$3)/($L$2-$K$2)*(COUNTA($B$9:$B86)-$K$2)+$K$3,$B86&lt;=$M$2,($M$3-$L$3)/($M$2-$L$2)*(COUNTA($B$9:$B86)-$L$2)+$L$3,$B86&gt;$M$2,(100%-$M$3)/($C$4-$M$2)*(COUNTA($B$9:$B86)-$M$2)+$M$3))*100,2)</f>
        <v>86.8</v>
      </c>
      <c r="D86" s="2" cm="1">
        <f t="array" ref="D86">ROUND(IF($B86&gt;$C$4,100%,_xlfn.IFS($B86&lt;=$K$2,($K$3-$J$3)/($K$2-$J$2)*(COUNTA($B$9:$B86)-$J$2)+$J$3,$B86&lt;=$L$2,($L$3-$K$3)/($L$2-$K$2)*(COUNTA($B$9:$B86)-$K$2)+$K$3,$B86&lt;=$M$2,($M$3-$L$3)/($M$2-$L$2)*(COUNTA($B$9:$B86)-$L$2)+$L$3,$B86&gt;$M$2,(100%-$M$3)/($C$4-$M$2)*(COUNTA($B$9:$B86)-$M$2)+$M$3))*100,2)</f>
        <v>86.8</v>
      </c>
      <c r="E86" s="2" cm="1">
        <f t="array" ref="E86">ROUND(IF($B86&gt;$C$4,100%,_xlfn.IFS($B86&lt;=$K$2,($K$3-$J$3)/($K$2-$J$2)*(COUNTA($B$9:$B86)-$J$2)+$J$3,$B86&lt;=$L$2,($L$3-$K$3)/($L$2-$K$2)*(COUNTA($B$9:$B86)-$K$2)+$K$3,$B86&lt;=$M$2,($M$3-$L$3)/($M$2-$L$2)*(COUNTA($B$9:$B86)-$L$2)+$L$3,$B86&gt;$M$2,(100%-$M$3)/($C$4-$M$2)*(COUNTA($B$9:$B86)-$M$2)+$M$3))*100,2)</f>
        <v>86.8</v>
      </c>
      <c r="F86" s="12"/>
      <c r="G86" s="12"/>
      <c r="H86" s="12"/>
      <c r="J86" s="2">
        <f>ROUNDUP((($K$5-$J$5)*C86/100)+$J$5,0)</f>
        <v>882</v>
      </c>
      <c r="K86" s="2">
        <f t="shared" si="2"/>
        <v>441</v>
      </c>
      <c r="L86" s="19">
        <f t="shared" si="3"/>
        <v>870</v>
      </c>
      <c r="M86" s="12"/>
      <c r="N86" s="12"/>
    </row>
    <row r="87" spans="2:14" x14ac:dyDescent="0.4">
      <c r="B87" s="2">
        <v>79</v>
      </c>
      <c r="C87" s="2" cm="1">
        <f t="array" ref="C87">ROUND(IF($B87&gt;$C$4,100%,_xlfn.IFS($B87&lt;=$K$2,($K$3-$J$3)/($K$2-$J$2)*(COUNTA($B$9:$B87)-$J$2)+$J$3,$B87&lt;=$L$2,($L$3-$K$3)/($L$2-$K$2)*(COUNTA($B$9:$B87)-$K$2)+$K$3,$B87&lt;=$M$2,($M$3-$L$3)/($M$2-$L$2)*(COUNTA($B$9:$B87)-$L$2)+$L$3,$B87&gt;$M$2,(100%-$M$3)/($C$4-$M$2)*(COUNTA($B$9:$B87)-$M$2)+$M$3))*100,2)</f>
        <v>87.4</v>
      </c>
      <c r="D87" s="2" cm="1">
        <f t="array" ref="D87">ROUND(IF($B87&gt;$C$4,100%,_xlfn.IFS($B87&lt;=$K$2,($K$3-$J$3)/($K$2-$J$2)*(COUNTA($B$9:$B87)-$J$2)+$J$3,$B87&lt;=$L$2,($L$3-$K$3)/($L$2-$K$2)*(COUNTA($B$9:$B87)-$K$2)+$K$3,$B87&lt;=$M$2,($M$3-$L$3)/($M$2-$L$2)*(COUNTA($B$9:$B87)-$L$2)+$L$3,$B87&gt;$M$2,(100%-$M$3)/($C$4-$M$2)*(COUNTA($B$9:$B87)-$M$2)+$M$3))*100,2)</f>
        <v>87.4</v>
      </c>
      <c r="E87" s="2" cm="1">
        <f t="array" ref="E87">ROUND(IF($B87&gt;$C$4,100%,_xlfn.IFS($B87&lt;=$K$2,($K$3-$J$3)/($K$2-$J$2)*(COUNTA($B$9:$B87)-$J$2)+$J$3,$B87&lt;=$L$2,($L$3-$K$3)/($L$2-$K$2)*(COUNTA($B$9:$B87)-$K$2)+$K$3,$B87&lt;=$M$2,($M$3-$L$3)/($M$2-$L$2)*(COUNTA($B$9:$B87)-$L$2)+$L$3,$B87&gt;$M$2,(100%-$M$3)/($C$4-$M$2)*(COUNTA($B$9:$B87)-$M$2)+$M$3))*100,2)</f>
        <v>87.4</v>
      </c>
      <c r="F87" s="12"/>
      <c r="G87" s="12"/>
      <c r="H87" s="12"/>
      <c r="J87" s="2">
        <f>ROUNDUP((($K$5-$J$5)*C87/100)+$J$5,0)</f>
        <v>887</v>
      </c>
      <c r="K87" s="2">
        <f t="shared" si="2"/>
        <v>444</v>
      </c>
      <c r="L87" s="19">
        <f t="shared" si="3"/>
        <v>876</v>
      </c>
      <c r="M87" s="12"/>
      <c r="N87" s="12"/>
    </row>
    <row r="88" spans="2:14" x14ac:dyDescent="0.4">
      <c r="B88" s="2">
        <v>80</v>
      </c>
      <c r="C88" s="2" cm="1">
        <f t="array" ref="C88">ROUND(IF($B88&gt;$C$4,100%,_xlfn.IFS($B88&lt;=$K$2,($K$3-$J$3)/($K$2-$J$2)*(COUNTA($B$9:$B88)-$J$2)+$J$3,$B88&lt;=$L$2,($L$3-$K$3)/($L$2-$K$2)*(COUNTA($B$9:$B88)-$K$2)+$K$3,$B88&lt;=$M$2,($M$3-$L$3)/($M$2-$L$2)*(COUNTA($B$9:$B88)-$L$2)+$L$3,$B88&gt;$M$2,(100%-$M$3)/($C$4-$M$2)*(COUNTA($B$9:$B88)-$M$2)+$M$3))*100,2)</f>
        <v>88</v>
      </c>
      <c r="D88" s="2" cm="1">
        <f t="array" ref="D88">ROUND(IF($B88&gt;$C$4,100%,_xlfn.IFS($B88&lt;=$K$2,($K$3-$J$3)/($K$2-$J$2)*(COUNTA($B$9:$B88)-$J$2)+$J$3,$B88&lt;=$L$2,($L$3-$K$3)/($L$2-$K$2)*(COUNTA($B$9:$B88)-$K$2)+$K$3,$B88&lt;=$M$2,($M$3-$L$3)/($M$2-$L$2)*(COUNTA($B$9:$B88)-$L$2)+$L$3,$B88&gt;$M$2,(100%-$M$3)/($C$4-$M$2)*(COUNTA($B$9:$B88)-$M$2)+$M$3))*100,2)</f>
        <v>88</v>
      </c>
      <c r="E88" s="2" cm="1">
        <f t="array" ref="E88">ROUND(IF($B88&gt;$C$4,100%,_xlfn.IFS($B88&lt;=$K$2,($K$3-$J$3)/($K$2-$J$2)*(COUNTA($B$9:$B88)-$J$2)+$J$3,$B88&lt;=$L$2,($L$3-$K$3)/($L$2-$K$2)*(COUNTA($B$9:$B88)-$K$2)+$K$3,$B88&lt;=$M$2,($M$3-$L$3)/($M$2-$L$2)*(COUNTA($B$9:$B88)-$L$2)+$L$3,$B88&gt;$M$2,(100%-$M$3)/($C$4-$M$2)*(COUNTA($B$9:$B88)-$M$2)+$M$3))*100,2)</f>
        <v>88</v>
      </c>
      <c r="F88" s="12"/>
      <c r="G88" s="12"/>
      <c r="H88" s="12"/>
      <c r="J88" s="2">
        <f>ROUNDUP((($K$5-$J$5)*C88/100)+$J$5,0)</f>
        <v>892</v>
      </c>
      <c r="K88" s="2">
        <f t="shared" si="2"/>
        <v>446</v>
      </c>
      <c r="L88" s="19">
        <f t="shared" si="3"/>
        <v>882</v>
      </c>
      <c r="M88" s="12"/>
      <c r="N88" s="12"/>
    </row>
    <row r="89" spans="2:14" x14ac:dyDescent="0.4">
      <c r="B89" s="2">
        <v>81</v>
      </c>
      <c r="C89" s="2" cm="1">
        <f t="array" ref="C89">ROUND(IF($B89&gt;$C$4,100%,_xlfn.IFS($B89&lt;=$K$2,($K$3-$J$3)/($K$2-$J$2)*(COUNTA($B$9:$B89)-$J$2)+$J$3,$B89&lt;=$L$2,($L$3-$K$3)/($L$2-$K$2)*(COUNTA($B$9:$B89)-$K$2)+$K$3,$B89&lt;=$M$2,($M$3-$L$3)/($M$2-$L$2)*(COUNTA($B$9:$B89)-$L$2)+$L$3,$B89&gt;$M$2,(100%-$M$3)/($C$4-$M$2)*(COUNTA($B$9:$B89)-$M$2)+$M$3))*100,2)</f>
        <v>88.6</v>
      </c>
      <c r="D89" s="2" cm="1">
        <f t="array" ref="D89">ROUND(IF($B89&gt;$C$4,100%,_xlfn.IFS($B89&lt;=$K$2,($K$3-$J$3)/($K$2-$J$2)*(COUNTA($B$9:$B89)-$J$2)+$J$3,$B89&lt;=$L$2,($L$3-$K$3)/($L$2-$K$2)*(COUNTA($B$9:$B89)-$K$2)+$K$3,$B89&lt;=$M$2,($M$3-$L$3)/($M$2-$L$2)*(COUNTA($B$9:$B89)-$L$2)+$L$3,$B89&gt;$M$2,(100%-$M$3)/($C$4-$M$2)*(COUNTA($B$9:$B89)-$M$2)+$M$3))*100,2)</f>
        <v>88.6</v>
      </c>
      <c r="E89" s="2" cm="1">
        <f t="array" ref="E89">ROUND(IF($B89&gt;$C$4,100%,_xlfn.IFS($B89&lt;=$K$2,($K$3-$J$3)/($K$2-$J$2)*(COUNTA($B$9:$B89)-$J$2)+$J$3,$B89&lt;=$L$2,($L$3-$K$3)/($L$2-$K$2)*(COUNTA($B$9:$B89)-$K$2)+$K$3,$B89&lt;=$M$2,($M$3-$L$3)/($M$2-$L$2)*(COUNTA($B$9:$B89)-$L$2)+$L$3,$B89&gt;$M$2,(100%-$M$3)/($C$4-$M$2)*(COUNTA($B$9:$B89)-$M$2)+$M$3))*100,2)</f>
        <v>88.6</v>
      </c>
      <c r="F89" s="12"/>
      <c r="G89" s="12"/>
      <c r="H89" s="12"/>
      <c r="J89" s="2">
        <f>ROUNDUP((($K$5-$J$5)*C89/100)+$J$5,0)</f>
        <v>898</v>
      </c>
      <c r="K89" s="2">
        <f t="shared" si="2"/>
        <v>449</v>
      </c>
      <c r="L89" s="19">
        <f t="shared" si="3"/>
        <v>888</v>
      </c>
      <c r="M89" s="12"/>
      <c r="N89" s="12"/>
    </row>
    <row r="90" spans="2:14" x14ac:dyDescent="0.4">
      <c r="B90" s="2">
        <v>82</v>
      </c>
      <c r="C90" s="2" cm="1">
        <f t="array" ref="C90">ROUND(IF($B90&gt;$C$4,100%,_xlfn.IFS($B90&lt;=$K$2,($K$3-$J$3)/($K$2-$J$2)*(COUNTA($B$9:$B90)-$J$2)+$J$3,$B90&lt;=$L$2,($L$3-$K$3)/($L$2-$K$2)*(COUNTA($B$9:$B90)-$K$2)+$K$3,$B90&lt;=$M$2,($M$3-$L$3)/($M$2-$L$2)*(COUNTA($B$9:$B90)-$L$2)+$L$3,$B90&gt;$M$2,(100%-$M$3)/($C$4-$M$2)*(COUNTA($B$9:$B90)-$M$2)+$M$3))*100,2)</f>
        <v>89.2</v>
      </c>
      <c r="D90" s="2" cm="1">
        <f t="array" ref="D90">ROUND(IF($B90&gt;$C$4,100%,_xlfn.IFS($B90&lt;=$K$2,($K$3-$J$3)/($K$2-$J$2)*(COUNTA($B$9:$B90)-$J$2)+$J$3,$B90&lt;=$L$2,($L$3-$K$3)/($L$2-$K$2)*(COUNTA($B$9:$B90)-$K$2)+$K$3,$B90&lt;=$M$2,($M$3-$L$3)/($M$2-$L$2)*(COUNTA($B$9:$B90)-$L$2)+$L$3,$B90&gt;$M$2,(100%-$M$3)/($C$4-$M$2)*(COUNTA($B$9:$B90)-$M$2)+$M$3))*100,2)</f>
        <v>89.2</v>
      </c>
      <c r="E90" s="2" cm="1">
        <f t="array" ref="E90">ROUND(IF($B90&gt;$C$4,100%,_xlfn.IFS($B90&lt;=$K$2,($K$3-$J$3)/($K$2-$J$2)*(COUNTA($B$9:$B90)-$J$2)+$J$3,$B90&lt;=$L$2,($L$3-$K$3)/($L$2-$K$2)*(COUNTA($B$9:$B90)-$K$2)+$K$3,$B90&lt;=$M$2,($M$3-$L$3)/($M$2-$L$2)*(COUNTA($B$9:$B90)-$L$2)+$L$3,$B90&gt;$M$2,(100%-$M$3)/($C$4-$M$2)*(COUNTA($B$9:$B90)-$M$2)+$M$3))*100,2)</f>
        <v>89.2</v>
      </c>
      <c r="F90" s="12"/>
      <c r="G90" s="12"/>
      <c r="H90" s="12"/>
      <c r="J90" s="2">
        <f>ROUNDUP((($K$5-$J$5)*C90/100)+$J$5,0)</f>
        <v>903</v>
      </c>
      <c r="K90" s="2">
        <f t="shared" si="2"/>
        <v>452</v>
      </c>
      <c r="L90" s="19">
        <f t="shared" si="3"/>
        <v>894</v>
      </c>
      <c r="M90" s="12"/>
      <c r="N90" s="12"/>
    </row>
    <row r="91" spans="2:14" x14ac:dyDescent="0.4">
      <c r="B91" s="2">
        <v>83</v>
      </c>
      <c r="C91" s="2" cm="1">
        <f t="array" ref="C91">ROUND(IF($B91&gt;$C$4,100%,_xlfn.IFS($B91&lt;=$K$2,($K$3-$J$3)/($K$2-$J$2)*(COUNTA($B$9:$B91)-$J$2)+$J$3,$B91&lt;=$L$2,($L$3-$K$3)/($L$2-$K$2)*(COUNTA($B$9:$B91)-$K$2)+$K$3,$B91&lt;=$M$2,($M$3-$L$3)/($M$2-$L$2)*(COUNTA($B$9:$B91)-$L$2)+$L$3,$B91&gt;$M$2,(100%-$M$3)/($C$4-$M$2)*(COUNTA($B$9:$B91)-$M$2)+$M$3))*100,2)</f>
        <v>89.8</v>
      </c>
      <c r="D91" s="2" cm="1">
        <f t="array" ref="D91">ROUND(IF($B91&gt;$C$4,100%,_xlfn.IFS($B91&lt;=$K$2,($K$3-$J$3)/($K$2-$J$2)*(COUNTA($B$9:$B91)-$J$2)+$J$3,$B91&lt;=$L$2,($L$3-$K$3)/($L$2-$K$2)*(COUNTA($B$9:$B91)-$K$2)+$K$3,$B91&lt;=$M$2,($M$3-$L$3)/($M$2-$L$2)*(COUNTA($B$9:$B91)-$L$2)+$L$3,$B91&gt;$M$2,(100%-$M$3)/($C$4-$M$2)*(COUNTA($B$9:$B91)-$M$2)+$M$3))*100,2)</f>
        <v>89.8</v>
      </c>
      <c r="E91" s="2" cm="1">
        <f t="array" ref="E91">ROUND(IF($B91&gt;$C$4,100%,_xlfn.IFS($B91&lt;=$K$2,($K$3-$J$3)/($K$2-$J$2)*(COUNTA($B$9:$B91)-$J$2)+$J$3,$B91&lt;=$L$2,($L$3-$K$3)/($L$2-$K$2)*(COUNTA($B$9:$B91)-$K$2)+$K$3,$B91&lt;=$M$2,($M$3-$L$3)/($M$2-$L$2)*(COUNTA($B$9:$B91)-$L$2)+$L$3,$B91&gt;$M$2,(100%-$M$3)/($C$4-$M$2)*(COUNTA($B$9:$B91)-$M$2)+$M$3))*100,2)</f>
        <v>89.8</v>
      </c>
      <c r="F91" s="12"/>
      <c r="G91" s="12"/>
      <c r="H91" s="12"/>
      <c r="J91" s="2">
        <f>ROUNDUP((($K$5-$J$5)*C91/100)+$J$5,0)</f>
        <v>909</v>
      </c>
      <c r="K91" s="2">
        <f t="shared" si="2"/>
        <v>455</v>
      </c>
      <c r="L91" s="19">
        <f t="shared" si="3"/>
        <v>900</v>
      </c>
      <c r="M91" s="12"/>
      <c r="N91" s="12"/>
    </row>
    <row r="92" spans="2:14" x14ac:dyDescent="0.4">
      <c r="B92" s="2">
        <v>84</v>
      </c>
      <c r="C92" s="2" cm="1">
        <f t="array" ref="C92">ROUND(IF($B92&gt;$C$4,100%,_xlfn.IFS($B92&lt;=$K$2,($K$3-$J$3)/($K$2-$J$2)*(COUNTA($B$9:$B92)-$J$2)+$J$3,$B92&lt;=$L$2,($L$3-$K$3)/($L$2-$K$2)*(COUNTA($B$9:$B92)-$K$2)+$K$3,$B92&lt;=$M$2,($M$3-$L$3)/($M$2-$L$2)*(COUNTA($B$9:$B92)-$L$2)+$L$3,$B92&gt;$M$2,(100%-$M$3)/($C$4-$M$2)*(COUNTA($B$9:$B92)-$M$2)+$M$3))*100,2)</f>
        <v>90.4</v>
      </c>
      <c r="D92" s="2" cm="1">
        <f t="array" ref="D92">ROUND(IF($B92&gt;$C$4,100%,_xlfn.IFS($B92&lt;=$K$2,($K$3-$J$3)/($K$2-$J$2)*(COUNTA($B$9:$B92)-$J$2)+$J$3,$B92&lt;=$L$2,($L$3-$K$3)/($L$2-$K$2)*(COUNTA($B$9:$B92)-$K$2)+$K$3,$B92&lt;=$M$2,($M$3-$L$3)/($M$2-$L$2)*(COUNTA($B$9:$B92)-$L$2)+$L$3,$B92&gt;$M$2,(100%-$M$3)/($C$4-$M$2)*(COUNTA($B$9:$B92)-$M$2)+$M$3))*100,2)</f>
        <v>90.4</v>
      </c>
      <c r="E92" s="2" cm="1">
        <f t="array" ref="E92">ROUND(IF($B92&gt;$C$4,100%,_xlfn.IFS($B92&lt;=$K$2,($K$3-$J$3)/($K$2-$J$2)*(COUNTA($B$9:$B92)-$J$2)+$J$3,$B92&lt;=$L$2,($L$3-$K$3)/($L$2-$K$2)*(COUNTA($B$9:$B92)-$K$2)+$K$3,$B92&lt;=$M$2,($M$3-$L$3)/($M$2-$L$2)*(COUNTA($B$9:$B92)-$L$2)+$L$3,$B92&gt;$M$2,(100%-$M$3)/($C$4-$M$2)*(COUNTA($B$9:$B92)-$M$2)+$M$3))*100,2)</f>
        <v>90.4</v>
      </c>
      <c r="F92" s="12"/>
      <c r="G92" s="12"/>
      <c r="H92" s="12"/>
      <c r="J92" s="2">
        <f>ROUNDUP((($K$5-$J$5)*C92/100)+$J$5,0)</f>
        <v>914</v>
      </c>
      <c r="K92" s="2">
        <f t="shared" si="2"/>
        <v>457</v>
      </c>
      <c r="L92" s="19">
        <f t="shared" si="3"/>
        <v>905</v>
      </c>
      <c r="M92" s="12"/>
      <c r="N92" s="12"/>
    </row>
    <row r="93" spans="2:14" x14ac:dyDescent="0.4">
      <c r="B93" s="2">
        <v>85</v>
      </c>
      <c r="C93" s="2" cm="1">
        <f t="array" ref="C93">ROUND(IF($B93&gt;$C$4,100%,_xlfn.IFS($B93&lt;=$K$2,($K$3-$J$3)/($K$2-$J$2)*(COUNTA($B$9:$B93)-$J$2)+$J$3,$B93&lt;=$L$2,($L$3-$K$3)/($L$2-$K$2)*(COUNTA($B$9:$B93)-$K$2)+$K$3,$B93&lt;=$M$2,($M$3-$L$3)/($M$2-$L$2)*(COUNTA($B$9:$B93)-$L$2)+$L$3,$B93&gt;$M$2,(100%-$M$3)/($C$4-$M$2)*(COUNTA($B$9:$B93)-$M$2)+$M$3))*100,2)</f>
        <v>91</v>
      </c>
      <c r="D93" s="2" cm="1">
        <f t="array" ref="D93">ROUND(IF($B93&gt;$C$4,100%,_xlfn.IFS($B93&lt;=$K$2,($K$3-$J$3)/($K$2-$J$2)*(COUNTA($B$9:$B93)-$J$2)+$J$3,$B93&lt;=$L$2,($L$3-$K$3)/($L$2-$K$2)*(COUNTA($B$9:$B93)-$K$2)+$K$3,$B93&lt;=$M$2,($M$3-$L$3)/($M$2-$L$2)*(COUNTA($B$9:$B93)-$L$2)+$L$3,$B93&gt;$M$2,(100%-$M$3)/($C$4-$M$2)*(COUNTA($B$9:$B93)-$M$2)+$M$3))*100,2)</f>
        <v>91</v>
      </c>
      <c r="E93" s="2" cm="1">
        <f t="array" ref="E93">ROUND(IF($B93&gt;$C$4,100%,_xlfn.IFS($B93&lt;=$K$2,($K$3-$J$3)/($K$2-$J$2)*(COUNTA($B$9:$B93)-$J$2)+$J$3,$B93&lt;=$L$2,($L$3-$K$3)/($L$2-$K$2)*(COUNTA($B$9:$B93)-$K$2)+$K$3,$B93&lt;=$M$2,($M$3-$L$3)/($M$2-$L$2)*(COUNTA($B$9:$B93)-$L$2)+$L$3,$B93&gt;$M$2,(100%-$M$3)/($C$4-$M$2)*(COUNTA($B$9:$B93)-$M$2)+$M$3))*100,2)</f>
        <v>91</v>
      </c>
      <c r="F93" s="12"/>
      <c r="G93" s="12"/>
      <c r="H93" s="12"/>
      <c r="J93" s="2">
        <f>ROUNDUP((($K$5-$J$5)*C93/100)+$J$5,0)</f>
        <v>919</v>
      </c>
      <c r="K93" s="2">
        <f t="shared" si="2"/>
        <v>460</v>
      </c>
      <c r="L93" s="19">
        <f t="shared" si="3"/>
        <v>911</v>
      </c>
      <c r="M93" s="12"/>
      <c r="N93" s="12"/>
    </row>
    <row r="94" spans="2:14" x14ac:dyDescent="0.4">
      <c r="B94" s="2">
        <v>86</v>
      </c>
      <c r="C94" s="2" cm="1">
        <f t="array" ref="C94">ROUND(IF($B94&gt;$C$4,100%,_xlfn.IFS($B94&lt;=$K$2,($K$3-$J$3)/($K$2-$J$2)*(COUNTA($B$9:$B94)-$J$2)+$J$3,$B94&lt;=$L$2,($L$3-$K$3)/($L$2-$K$2)*(COUNTA($B$9:$B94)-$K$2)+$K$3,$B94&lt;=$M$2,($M$3-$L$3)/($M$2-$L$2)*(COUNTA($B$9:$B94)-$L$2)+$L$3,$B94&gt;$M$2,(100%-$M$3)/($C$4-$M$2)*(COUNTA($B$9:$B94)-$M$2)+$M$3))*100,2)</f>
        <v>91.6</v>
      </c>
      <c r="D94" s="2" cm="1">
        <f t="array" ref="D94">ROUND(IF($B94&gt;$C$4,100%,_xlfn.IFS($B94&lt;=$K$2,($K$3-$J$3)/($K$2-$J$2)*(COUNTA($B$9:$B94)-$J$2)+$J$3,$B94&lt;=$L$2,($L$3-$K$3)/($L$2-$K$2)*(COUNTA($B$9:$B94)-$K$2)+$K$3,$B94&lt;=$M$2,($M$3-$L$3)/($M$2-$L$2)*(COUNTA($B$9:$B94)-$L$2)+$L$3,$B94&gt;$M$2,(100%-$M$3)/($C$4-$M$2)*(COUNTA($B$9:$B94)-$M$2)+$M$3))*100,2)</f>
        <v>91.6</v>
      </c>
      <c r="E94" s="2" cm="1">
        <f t="array" ref="E94">ROUND(IF($B94&gt;$C$4,100%,_xlfn.IFS($B94&lt;=$K$2,($K$3-$J$3)/($K$2-$J$2)*(COUNTA($B$9:$B94)-$J$2)+$J$3,$B94&lt;=$L$2,($L$3-$K$3)/($L$2-$K$2)*(COUNTA($B$9:$B94)-$K$2)+$K$3,$B94&lt;=$M$2,($M$3-$L$3)/($M$2-$L$2)*(COUNTA($B$9:$B94)-$L$2)+$L$3,$B94&gt;$M$2,(100%-$M$3)/($C$4-$M$2)*(COUNTA($B$9:$B94)-$M$2)+$M$3))*100,2)</f>
        <v>91.6</v>
      </c>
      <c r="F94" s="12"/>
      <c r="G94" s="12"/>
      <c r="H94" s="12"/>
      <c r="J94" s="2">
        <f>ROUNDUP((($K$5-$J$5)*C94/100)+$J$5,0)</f>
        <v>925</v>
      </c>
      <c r="K94" s="2">
        <f t="shared" si="2"/>
        <v>463</v>
      </c>
      <c r="L94" s="19">
        <f t="shared" si="3"/>
        <v>917</v>
      </c>
      <c r="M94" s="12"/>
      <c r="N94" s="12"/>
    </row>
    <row r="95" spans="2:14" x14ac:dyDescent="0.4">
      <c r="B95" s="2">
        <v>87</v>
      </c>
      <c r="C95" s="2" cm="1">
        <f t="array" ref="C95">ROUND(IF($B95&gt;$C$4,100%,_xlfn.IFS($B95&lt;=$K$2,($K$3-$J$3)/($K$2-$J$2)*(COUNTA($B$9:$B95)-$J$2)+$J$3,$B95&lt;=$L$2,($L$3-$K$3)/($L$2-$K$2)*(COUNTA($B$9:$B95)-$K$2)+$K$3,$B95&lt;=$M$2,($M$3-$L$3)/($M$2-$L$2)*(COUNTA($B$9:$B95)-$L$2)+$L$3,$B95&gt;$M$2,(100%-$M$3)/($C$4-$M$2)*(COUNTA($B$9:$B95)-$M$2)+$M$3))*100,2)</f>
        <v>92.2</v>
      </c>
      <c r="D95" s="2" cm="1">
        <f t="array" ref="D95">ROUND(IF($B95&gt;$C$4,100%,_xlfn.IFS($B95&lt;=$K$2,($K$3-$J$3)/($K$2-$J$2)*(COUNTA($B$9:$B95)-$J$2)+$J$3,$B95&lt;=$L$2,($L$3-$K$3)/($L$2-$K$2)*(COUNTA($B$9:$B95)-$K$2)+$K$3,$B95&lt;=$M$2,($M$3-$L$3)/($M$2-$L$2)*(COUNTA($B$9:$B95)-$L$2)+$L$3,$B95&gt;$M$2,(100%-$M$3)/($C$4-$M$2)*(COUNTA($B$9:$B95)-$M$2)+$M$3))*100,2)</f>
        <v>92.2</v>
      </c>
      <c r="E95" s="2" cm="1">
        <f t="array" ref="E95">ROUND(IF($B95&gt;$C$4,100%,_xlfn.IFS($B95&lt;=$K$2,($K$3-$J$3)/($K$2-$J$2)*(COUNTA($B$9:$B95)-$J$2)+$J$3,$B95&lt;=$L$2,($L$3-$K$3)/($L$2-$K$2)*(COUNTA($B$9:$B95)-$K$2)+$K$3,$B95&lt;=$M$2,($M$3-$L$3)/($M$2-$L$2)*(COUNTA($B$9:$B95)-$L$2)+$L$3,$B95&gt;$M$2,(100%-$M$3)/($C$4-$M$2)*(COUNTA($B$9:$B95)-$M$2)+$M$3))*100,2)</f>
        <v>92.2</v>
      </c>
      <c r="F95" s="12"/>
      <c r="G95" s="12"/>
      <c r="H95" s="12"/>
      <c r="J95" s="2">
        <f>ROUNDUP((($K$5-$J$5)*C95/100)+$J$5,0)</f>
        <v>930</v>
      </c>
      <c r="K95" s="2">
        <f t="shared" si="2"/>
        <v>465</v>
      </c>
      <c r="L95" s="19">
        <f t="shared" si="3"/>
        <v>923</v>
      </c>
      <c r="M95" s="12"/>
      <c r="N95" s="12"/>
    </row>
    <row r="96" spans="2:14" x14ac:dyDescent="0.4">
      <c r="B96" s="2">
        <v>88</v>
      </c>
      <c r="C96" s="2" cm="1">
        <f t="array" ref="C96">ROUND(IF($B96&gt;$C$4,100%,_xlfn.IFS($B96&lt;=$K$2,($K$3-$J$3)/($K$2-$J$2)*(COUNTA($B$9:$B96)-$J$2)+$J$3,$B96&lt;=$L$2,($L$3-$K$3)/($L$2-$K$2)*(COUNTA($B$9:$B96)-$K$2)+$K$3,$B96&lt;=$M$2,($M$3-$L$3)/($M$2-$L$2)*(COUNTA($B$9:$B96)-$L$2)+$L$3,$B96&gt;$M$2,(100%-$M$3)/($C$4-$M$2)*(COUNTA($B$9:$B96)-$M$2)+$M$3))*100,2)</f>
        <v>92.8</v>
      </c>
      <c r="D96" s="2" cm="1">
        <f t="array" ref="D96">ROUND(IF($B96&gt;$C$4,100%,_xlfn.IFS($B96&lt;=$K$2,($K$3-$J$3)/($K$2-$J$2)*(COUNTA($B$9:$B96)-$J$2)+$J$3,$B96&lt;=$L$2,($L$3-$K$3)/($L$2-$K$2)*(COUNTA($B$9:$B96)-$K$2)+$K$3,$B96&lt;=$M$2,($M$3-$L$3)/($M$2-$L$2)*(COUNTA($B$9:$B96)-$L$2)+$L$3,$B96&gt;$M$2,(100%-$M$3)/($C$4-$M$2)*(COUNTA($B$9:$B96)-$M$2)+$M$3))*100,2)</f>
        <v>92.8</v>
      </c>
      <c r="E96" s="2" cm="1">
        <f t="array" ref="E96">ROUND(IF($B96&gt;$C$4,100%,_xlfn.IFS($B96&lt;=$K$2,($K$3-$J$3)/($K$2-$J$2)*(COUNTA($B$9:$B96)-$J$2)+$J$3,$B96&lt;=$L$2,($L$3-$K$3)/($L$2-$K$2)*(COUNTA($B$9:$B96)-$K$2)+$K$3,$B96&lt;=$M$2,($M$3-$L$3)/($M$2-$L$2)*(COUNTA($B$9:$B96)-$L$2)+$L$3,$B96&gt;$M$2,(100%-$M$3)/($C$4-$M$2)*(COUNTA($B$9:$B96)-$M$2)+$M$3))*100,2)</f>
        <v>92.8</v>
      </c>
      <c r="F96" s="12"/>
      <c r="G96" s="12"/>
      <c r="H96" s="12"/>
      <c r="J96" s="2">
        <f>ROUNDUP((($K$5-$J$5)*C96/100)+$J$5,0)</f>
        <v>936</v>
      </c>
      <c r="K96" s="2">
        <f t="shared" si="2"/>
        <v>468</v>
      </c>
      <c r="L96" s="19">
        <f t="shared" si="3"/>
        <v>929</v>
      </c>
      <c r="M96" s="12"/>
      <c r="N96" s="12"/>
    </row>
    <row r="97" spans="1:14" x14ac:dyDescent="0.4">
      <c r="B97" s="2">
        <v>89</v>
      </c>
      <c r="C97" s="2" cm="1">
        <f t="array" ref="C97">ROUND(IF($B97&gt;$C$4,100%,_xlfn.IFS($B97&lt;=$K$2,($K$3-$J$3)/($K$2-$J$2)*(COUNTA($B$9:$B97)-$J$2)+$J$3,$B97&lt;=$L$2,($L$3-$K$3)/($L$2-$K$2)*(COUNTA($B$9:$B97)-$K$2)+$K$3,$B97&lt;=$M$2,($M$3-$L$3)/($M$2-$L$2)*(COUNTA($B$9:$B97)-$L$2)+$L$3,$B97&gt;$M$2,(100%-$M$3)/($C$4-$M$2)*(COUNTA($B$9:$B97)-$M$2)+$M$3))*100,2)</f>
        <v>93.4</v>
      </c>
      <c r="D97" s="2" cm="1">
        <f t="array" ref="D97">ROUND(IF($B97&gt;$C$4,100%,_xlfn.IFS($B97&lt;=$K$2,($K$3-$J$3)/($K$2-$J$2)*(COUNTA($B$9:$B97)-$J$2)+$J$3,$B97&lt;=$L$2,($L$3-$K$3)/($L$2-$K$2)*(COUNTA($B$9:$B97)-$K$2)+$K$3,$B97&lt;=$M$2,($M$3-$L$3)/($M$2-$L$2)*(COUNTA($B$9:$B97)-$L$2)+$L$3,$B97&gt;$M$2,(100%-$M$3)/($C$4-$M$2)*(COUNTA($B$9:$B97)-$M$2)+$M$3))*100,2)</f>
        <v>93.4</v>
      </c>
      <c r="E97" s="2" cm="1">
        <f t="array" ref="E97">ROUND(IF($B97&gt;$C$4,100%,_xlfn.IFS($B97&lt;=$K$2,($K$3-$J$3)/($K$2-$J$2)*(COUNTA($B$9:$B97)-$J$2)+$J$3,$B97&lt;=$L$2,($L$3-$K$3)/($L$2-$K$2)*(COUNTA($B$9:$B97)-$K$2)+$K$3,$B97&lt;=$M$2,($M$3-$L$3)/($M$2-$L$2)*(COUNTA($B$9:$B97)-$L$2)+$L$3,$B97&gt;$M$2,(100%-$M$3)/($C$4-$M$2)*(COUNTA($B$9:$B97)-$M$2)+$M$3))*100,2)</f>
        <v>93.4</v>
      </c>
      <c r="F97" s="12"/>
      <c r="G97" s="12"/>
      <c r="H97" s="12"/>
      <c r="J97" s="2">
        <f>ROUNDUP((($K$5-$J$5)*C97/100)+$J$5,0)</f>
        <v>941</v>
      </c>
      <c r="K97" s="2">
        <f t="shared" si="2"/>
        <v>471</v>
      </c>
      <c r="L97" s="19">
        <f t="shared" si="3"/>
        <v>935</v>
      </c>
      <c r="M97" s="12"/>
      <c r="N97" s="12"/>
    </row>
    <row r="98" spans="1:14" x14ac:dyDescent="0.4">
      <c r="B98" s="2">
        <v>90</v>
      </c>
      <c r="C98" s="2" cm="1">
        <f t="array" ref="C98">ROUND(IF($B98&gt;$C$4,100%,_xlfn.IFS($B98&lt;=$K$2,($K$3-$J$3)/($K$2-$J$2)*(COUNTA($B$9:$B98)-$J$2)+$J$3,$B98&lt;=$L$2,($L$3-$K$3)/($L$2-$K$2)*(COUNTA($B$9:$B98)-$K$2)+$K$3,$B98&lt;=$M$2,($M$3-$L$3)/($M$2-$L$2)*(COUNTA($B$9:$B98)-$L$2)+$L$3,$B98&gt;$M$2,(100%-$M$3)/($C$4-$M$2)*(COUNTA($B$9:$B98)-$M$2)+$M$3))*100,2)</f>
        <v>94</v>
      </c>
      <c r="D98" s="2" cm="1">
        <f t="array" ref="D98">ROUND(IF($B98&gt;$C$4,100%,_xlfn.IFS($B98&lt;=$K$2,($K$3-$J$3)/($K$2-$J$2)*(COUNTA($B$9:$B98)-$J$2)+$J$3,$B98&lt;=$L$2,($L$3-$K$3)/($L$2-$K$2)*(COUNTA($B$9:$B98)-$K$2)+$K$3,$B98&lt;=$M$2,($M$3-$L$3)/($M$2-$L$2)*(COUNTA($B$9:$B98)-$L$2)+$L$3,$B98&gt;$M$2,(100%-$M$3)/($C$4-$M$2)*(COUNTA($B$9:$B98)-$M$2)+$M$3))*100,2)</f>
        <v>94</v>
      </c>
      <c r="E98" s="2" cm="1">
        <f t="array" ref="E98">ROUND(IF($B98&gt;$C$4,100%,_xlfn.IFS($B98&lt;=$K$2,($K$3-$J$3)/($K$2-$J$2)*(COUNTA($B$9:$B98)-$J$2)+$J$3,$B98&lt;=$L$2,($L$3-$K$3)/($L$2-$K$2)*(COUNTA($B$9:$B98)-$K$2)+$K$3,$B98&lt;=$M$2,($M$3-$L$3)/($M$2-$L$2)*(COUNTA($B$9:$B98)-$L$2)+$L$3,$B98&gt;$M$2,(100%-$M$3)/($C$4-$M$2)*(COUNTA($B$9:$B98)-$M$2)+$M$3))*100,2)</f>
        <v>94</v>
      </c>
      <c r="F98" s="12"/>
      <c r="G98" s="12"/>
      <c r="H98" s="12"/>
      <c r="J98" s="2">
        <f>ROUNDUP((($K$5-$J$5)*C98/100)+$J$5,0)</f>
        <v>946</v>
      </c>
      <c r="K98" s="2">
        <f t="shared" si="2"/>
        <v>473</v>
      </c>
      <c r="L98" s="19">
        <f t="shared" si="3"/>
        <v>941</v>
      </c>
      <c r="M98" s="12"/>
      <c r="N98" s="12"/>
    </row>
    <row r="99" spans="1:14" x14ac:dyDescent="0.4">
      <c r="B99" s="2">
        <v>91</v>
      </c>
      <c r="C99" s="2" cm="1">
        <f t="array" ref="C99">ROUND(IF($B99&gt;$C$4,100%,_xlfn.IFS($B99&lt;=$K$2,($K$3-$J$3)/($K$2-$J$2)*(COUNTA($B$9:$B99)-$J$2)+$J$3,$B99&lt;=$L$2,($L$3-$K$3)/($L$2-$K$2)*(COUNTA($B$9:$B99)-$K$2)+$K$3,$B99&lt;=$M$2,($M$3-$L$3)/($M$2-$L$2)*(COUNTA($B$9:$B99)-$L$2)+$L$3,$B99&gt;$M$2,(100%-$M$3)/($C$4-$M$2)*(COUNTA($B$9:$B99)-$M$2)+$M$3))*100,2)</f>
        <v>94.6</v>
      </c>
      <c r="D99" s="2" cm="1">
        <f t="array" ref="D99">ROUND(IF($B99&gt;$C$4,100%,_xlfn.IFS($B99&lt;=$K$2,($K$3-$J$3)/($K$2-$J$2)*(COUNTA($B$9:$B99)-$J$2)+$J$3,$B99&lt;=$L$2,($L$3-$K$3)/($L$2-$K$2)*(COUNTA($B$9:$B99)-$K$2)+$K$3,$B99&lt;=$M$2,($M$3-$L$3)/($M$2-$L$2)*(COUNTA($B$9:$B99)-$L$2)+$L$3,$B99&gt;$M$2,(100%-$M$3)/($C$4-$M$2)*(COUNTA($B$9:$B99)-$M$2)+$M$3))*100,2)</f>
        <v>94.6</v>
      </c>
      <c r="E99" s="2" cm="1">
        <f t="array" ref="E99">ROUND(IF($B99&gt;$C$4,100%,_xlfn.IFS($B99&lt;=$K$2,($K$3-$J$3)/($K$2-$J$2)*(COUNTA($B$9:$B99)-$J$2)+$J$3,$B99&lt;=$L$2,($L$3-$K$3)/($L$2-$K$2)*(COUNTA($B$9:$B99)-$K$2)+$K$3,$B99&lt;=$M$2,($M$3-$L$3)/($M$2-$L$2)*(COUNTA($B$9:$B99)-$L$2)+$L$3,$B99&gt;$M$2,(100%-$M$3)/($C$4-$M$2)*(COUNTA($B$9:$B99)-$M$2)+$M$3))*100,2)</f>
        <v>94.6</v>
      </c>
      <c r="F99" s="12"/>
      <c r="G99" s="12"/>
      <c r="H99" s="12"/>
      <c r="J99" s="2">
        <f>ROUNDUP((($K$5-$J$5)*C99/100)+$J$5,0)</f>
        <v>952</v>
      </c>
      <c r="K99" s="2">
        <f t="shared" si="2"/>
        <v>476</v>
      </c>
      <c r="L99" s="19">
        <f t="shared" si="3"/>
        <v>947</v>
      </c>
      <c r="M99" s="12"/>
      <c r="N99" s="12"/>
    </row>
    <row r="100" spans="1:14" x14ac:dyDescent="0.4">
      <c r="B100" s="2">
        <v>92</v>
      </c>
      <c r="C100" s="2" cm="1">
        <f t="array" ref="C100">ROUND(IF($B100&gt;$C$4,100%,_xlfn.IFS($B100&lt;=$K$2,($K$3-$J$3)/($K$2-$J$2)*(COUNTA($B$9:$B100)-$J$2)+$J$3,$B100&lt;=$L$2,($L$3-$K$3)/($L$2-$K$2)*(COUNTA($B$9:$B100)-$K$2)+$K$3,$B100&lt;=$M$2,($M$3-$L$3)/($M$2-$L$2)*(COUNTA($B$9:$B100)-$L$2)+$L$3,$B100&gt;$M$2,(100%-$M$3)/($C$4-$M$2)*(COUNTA($B$9:$B100)-$M$2)+$M$3))*100,2)</f>
        <v>95.2</v>
      </c>
      <c r="D100" s="2" cm="1">
        <f t="array" ref="D100">ROUND(IF($B100&gt;$C$4,100%,_xlfn.IFS($B100&lt;=$K$2,($K$3-$J$3)/($K$2-$J$2)*(COUNTA($B$9:$B100)-$J$2)+$J$3,$B100&lt;=$L$2,($L$3-$K$3)/($L$2-$K$2)*(COUNTA($B$9:$B100)-$K$2)+$K$3,$B100&lt;=$M$2,($M$3-$L$3)/($M$2-$L$2)*(COUNTA($B$9:$B100)-$L$2)+$L$3,$B100&gt;$M$2,(100%-$M$3)/($C$4-$M$2)*(COUNTA($B$9:$B100)-$M$2)+$M$3))*100,2)</f>
        <v>95.2</v>
      </c>
      <c r="E100" s="2" cm="1">
        <f t="array" ref="E100">ROUND(IF($B100&gt;$C$4,100%,_xlfn.IFS($B100&lt;=$K$2,($K$3-$J$3)/($K$2-$J$2)*(COUNTA($B$9:$B100)-$J$2)+$J$3,$B100&lt;=$L$2,($L$3-$K$3)/($L$2-$K$2)*(COUNTA($B$9:$B100)-$K$2)+$K$3,$B100&lt;=$M$2,($M$3-$L$3)/($M$2-$L$2)*(COUNTA($B$9:$B100)-$L$2)+$L$3,$B100&gt;$M$2,(100%-$M$3)/($C$4-$M$2)*(COUNTA($B$9:$B100)-$M$2)+$M$3))*100,2)</f>
        <v>95.2</v>
      </c>
      <c r="F100" s="12"/>
      <c r="G100" s="12"/>
      <c r="H100" s="12"/>
      <c r="J100" s="2">
        <f>ROUNDUP((($K$5-$J$5)*C100/100)+$J$5,0)</f>
        <v>957</v>
      </c>
      <c r="K100" s="2">
        <f t="shared" si="2"/>
        <v>479</v>
      </c>
      <c r="L100" s="19">
        <f t="shared" si="3"/>
        <v>953</v>
      </c>
      <c r="M100" s="12"/>
      <c r="N100" s="12"/>
    </row>
    <row r="101" spans="1:14" x14ac:dyDescent="0.4">
      <c r="B101" s="2">
        <v>93</v>
      </c>
      <c r="C101" s="2" cm="1">
        <f t="array" ref="C101">ROUND(IF($B101&gt;$C$4,100%,_xlfn.IFS($B101&lt;=$K$2,($K$3-$J$3)/($K$2-$J$2)*(COUNTA($B$9:$B101)-$J$2)+$J$3,$B101&lt;=$L$2,($L$3-$K$3)/($L$2-$K$2)*(COUNTA($B$9:$B101)-$K$2)+$K$3,$B101&lt;=$M$2,($M$3-$L$3)/($M$2-$L$2)*(COUNTA($B$9:$B101)-$L$2)+$L$3,$B101&gt;$M$2,(100%-$M$3)/($C$4-$M$2)*(COUNTA($B$9:$B101)-$M$2)+$M$3))*100,2)</f>
        <v>95.8</v>
      </c>
      <c r="D101" s="2" cm="1">
        <f t="array" ref="D101">ROUND(IF($B101&gt;$C$4,100%,_xlfn.IFS($B101&lt;=$K$2,($K$3-$J$3)/($K$2-$J$2)*(COUNTA($B$9:$B101)-$J$2)+$J$3,$B101&lt;=$L$2,($L$3-$K$3)/($L$2-$K$2)*(COUNTA($B$9:$B101)-$K$2)+$K$3,$B101&lt;=$M$2,($M$3-$L$3)/($M$2-$L$2)*(COUNTA($B$9:$B101)-$L$2)+$L$3,$B101&gt;$M$2,(100%-$M$3)/($C$4-$M$2)*(COUNTA($B$9:$B101)-$M$2)+$M$3))*100,2)</f>
        <v>95.8</v>
      </c>
      <c r="E101" s="2" cm="1">
        <f t="array" ref="E101">ROUND(IF($B101&gt;$C$4,100%,_xlfn.IFS($B101&lt;=$K$2,($K$3-$J$3)/($K$2-$J$2)*(COUNTA($B$9:$B101)-$J$2)+$J$3,$B101&lt;=$L$2,($L$3-$K$3)/($L$2-$K$2)*(COUNTA($B$9:$B101)-$K$2)+$K$3,$B101&lt;=$M$2,($M$3-$L$3)/($M$2-$L$2)*(COUNTA($B$9:$B101)-$L$2)+$L$3,$B101&gt;$M$2,(100%-$M$3)/($C$4-$M$2)*(COUNTA($B$9:$B101)-$M$2)+$M$3))*100,2)</f>
        <v>95.8</v>
      </c>
      <c r="F101" s="12"/>
      <c r="G101" s="12"/>
      <c r="H101" s="12"/>
      <c r="J101" s="2">
        <f>ROUNDUP((($K$5-$J$5)*C101/100)+$J$5,0)</f>
        <v>963</v>
      </c>
      <c r="K101" s="2">
        <f t="shared" si="2"/>
        <v>482</v>
      </c>
      <c r="L101" s="19">
        <f t="shared" si="3"/>
        <v>959</v>
      </c>
      <c r="M101" s="12"/>
      <c r="N101" s="12"/>
    </row>
    <row r="102" spans="1:14" x14ac:dyDescent="0.4">
      <c r="B102" s="2">
        <v>94</v>
      </c>
      <c r="C102" s="2" cm="1">
        <f t="array" ref="C102">ROUND(IF($B102&gt;$C$4,100%,_xlfn.IFS($B102&lt;=$K$2,($K$3-$J$3)/($K$2-$J$2)*(COUNTA($B$9:$B102)-$J$2)+$J$3,$B102&lt;=$L$2,($L$3-$K$3)/($L$2-$K$2)*(COUNTA($B$9:$B102)-$K$2)+$K$3,$B102&lt;=$M$2,($M$3-$L$3)/($M$2-$L$2)*(COUNTA($B$9:$B102)-$L$2)+$L$3,$B102&gt;$M$2,(100%-$M$3)/($C$4-$M$2)*(COUNTA($B$9:$B102)-$M$2)+$M$3))*100,2)</f>
        <v>96.4</v>
      </c>
      <c r="D102" s="2" cm="1">
        <f t="array" ref="D102">ROUND(IF($B102&gt;$C$4,100%,_xlfn.IFS($B102&lt;=$K$2,($K$3-$J$3)/($K$2-$J$2)*(COUNTA($B$9:$B102)-$J$2)+$J$3,$B102&lt;=$L$2,($L$3-$K$3)/($L$2-$K$2)*(COUNTA($B$9:$B102)-$K$2)+$K$3,$B102&lt;=$M$2,($M$3-$L$3)/($M$2-$L$2)*(COUNTA($B$9:$B102)-$L$2)+$L$3,$B102&gt;$M$2,(100%-$M$3)/($C$4-$M$2)*(COUNTA($B$9:$B102)-$M$2)+$M$3))*100,2)</f>
        <v>96.4</v>
      </c>
      <c r="E102" s="2" cm="1">
        <f t="array" ref="E102">ROUND(IF($B102&gt;$C$4,100%,_xlfn.IFS($B102&lt;=$K$2,($K$3-$J$3)/($K$2-$J$2)*(COUNTA($B$9:$B102)-$J$2)+$J$3,$B102&lt;=$L$2,($L$3-$K$3)/($L$2-$K$2)*(COUNTA($B$9:$B102)-$K$2)+$K$3,$B102&lt;=$M$2,($M$3-$L$3)/($M$2-$L$2)*(COUNTA($B$9:$B102)-$L$2)+$L$3,$B102&gt;$M$2,(100%-$M$3)/($C$4-$M$2)*(COUNTA($B$9:$B102)-$M$2)+$M$3))*100,2)</f>
        <v>96.4</v>
      </c>
      <c r="F102" s="12"/>
      <c r="G102" s="12"/>
      <c r="H102" s="12"/>
      <c r="J102" s="2">
        <f>ROUNDUP((($K$5-$J$5)*C102/100)+$J$5,0)</f>
        <v>968</v>
      </c>
      <c r="K102" s="2">
        <f t="shared" si="2"/>
        <v>484</v>
      </c>
      <c r="L102" s="19">
        <f t="shared" si="3"/>
        <v>965</v>
      </c>
      <c r="M102" s="12"/>
      <c r="N102" s="12"/>
    </row>
    <row r="103" spans="1:14" x14ac:dyDescent="0.4">
      <c r="B103" s="2">
        <v>95</v>
      </c>
      <c r="C103" s="2" cm="1">
        <f t="array" ref="C103">ROUND(IF($B103&gt;$C$4,100%,_xlfn.IFS($B103&lt;=$K$2,($K$3-$J$3)/($K$2-$J$2)*(COUNTA($B$9:$B103)-$J$2)+$J$3,$B103&lt;=$L$2,($L$3-$K$3)/($L$2-$K$2)*(COUNTA($B$9:$B103)-$K$2)+$K$3,$B103&lt;=$M$2,($M$3-$L$3)/($M$2-$L$2)*(COUNTA($B$9:$B103)-$L$2)+$L$3,$B103&gt;$M$2,(100%-$M$3)/($C$4-$M$2)*(COUNTA($B$9:$B103)-$M$2)+$M$3))*100,2)</f>
        <v>97</v>
      </c>
      <c r="D103" s="2" cm="1">
        <f t="array" ref="D103">ROUND(IF($B103&gt;$C$4,100%,_xlfn.IFS($B103&lt;=$K$2,($K$3-$J$3)/($K$2-$J$2)*(COUNTA($B$9:$B103)-$J$2)+$J$3,$B103&lt;=$L$2,($L$3-$K$3)/($L$2-$K$2)*(COUNTA($B$9:$B103)-$K$2)+$K$3,$B103&lt;=$M$2,($M$3-$L$3)/($M$2-$L$2)*(COUNTA($B$9:$B103)-$L$2)+$L$3,$B103&gt;$M$2,(100%-$M$3)/($C$4-$M$2)*(COUNTA($B$9:$B103)-$M$2)+$M$3))*100,2)</f>
        <v>97</v>
      </c>
      <c r="E103" s="2" cm="1">
        <f t="array" ref="E103">ROUND(IF($B103&gt;$C$4,100%,_xlfn.IFS($B103&lt;=$K$2,($K$3-$J$3)/($K$2-$J$2)*(COUNTA($B$9:$B103)-$J$2)+$J$3,$B103&lt;=$L$2,($L$3-$K$3)/($L$2-$K$2)*(COUNTA($B$9:$B103)-$K$2)+$K$3,$B103&lt;=$M$2,($M$3-$L$3)/($M$2-$L$2)*(COUNTA($B$9:$B103)-$L$2)+$L$3,$B103&gt;$M$2,(100%-$M$3)/($C$4-$M$2)*(COUNTA($B$9:$B103)-$M$2)+$M$3))*100,2)</f>
        <v>97</v>
      </c>
      <c r="F103" s="12"/>
      <c r="G103" s="12"/>
      <c r="H103" s="12"/>
      <c r="J103" s="2">
        <f>ROUNDUP((($K$5-$J$5)*C103/100)+$J$5,0)</f>
        <v>973</v>
      </c>
      <c r="K103" s="2">
        <f t="shared" si="2"/>
        <v>487</v>
      </c>
      <c r="L103" s="19">
        <f t="shared" si="3"/>
        <v>971</v>
      </c>
      <c r="M103" s="12"/>
      <c r="N103" s="12"/>
    </row>
    <row r="104" spans="1:14" x14ac:dyDescent="0.4">
      <c r="B104" s="2">
        <v>96</v>
      </c>
      <c r="C104" s="2" cm="1">
        <f t="array" ref="C104">ROUND(IF($B104&gt;$C$4,100%,_xlfn.IFS($B104&lt;=$K$2,($K$3-$J$3)/($K$2-$J$2)*(COUNTA($B$9:$B104)-$J$2)+$J$3,$B104&lt;=$L$2,($L$3-$K$3)/($L$2-$K$2)*(COUNTA($B$9:$B104)-$K$2)+$K$3,$B104&lt;=$M$2,($M$3-$L$3)/($M$2-$L$2)*(COUNTA($B$9:$B104)-$L$2)+$L$3,$B104&gt;$M$2,(100%-$M$3)/($C$4-$M$2)*(COUNTA($B$9:$B104)-$M$2)+$M$3))*100,2)</f>
        <v>97.6</v>
      </c>
      <c r="D104" s="2" cm="1">
        <f t="array" ref="D104">ROUND(IF($B104&gt;$C$4,100%,_xlfn.IFS($B104&lt;=$K$2,($K$3-$J$3)/($K$2-$J$2)*(COUNTA($B$9:$B104)-$J$2)+$J$3,$B104&lt;=$L$2,($L$3-$K$3)/($L$2-$K$2)*(COUNTA($B$9:$B104)-$K$2)+$K$3,$B104&lt;=$M$2,($M$3-$L$3)/($M$2-$L$2)*(COUNTA($B$9:$B104)-$L$2)+$L$3,$B104&gt;$M$2,(100%-$M$3)/($C$4-$M$2)*(COUNTA($B$9:$B104)-$M$2)+$M$3))*100,2)</f>
        <v>97.6</v>
      </c>
      <c r="E104" s="2" cm="1">
        <f t="array" ref="E104">ROUND(IF($B104&gt;$C$4,100%,_xlfn.IFS($B104&lt;=$K$2,($K$3-$J$3)/($K$2-$J$2)*(COUNTA($B$9:$B104)-$J$2)+$J$3,$B104&lt;=$L$2,($L$3-$K$3)/($L$2-$K$2)*(COUNTA($B$9:$B104)-$K$2)+$K$3,$B104&lt;=$M$2,($M$3-$L$3)/($M$2-$L$2)*(COUNTA($B$9:$B104)-$L$2)+$L$3,$B104&gt;$M$2,(100%-$M$3)/($C$4-$M$2)*(COUNTA($B$9:$B104)-$M$2)+$M$3))*100,2)</f>
        <v>97.6</v>
      </c>
      <c r="F104" s="12"/>
      <c r="G104" s="12"/>
      <c r="H104" s="12"/>
      <c r="J104" s="2">
        <f>ROUNDUP((($K$5-$J$5)*C104/100)+$J$5,0)</f>
        <v>979</v>
      </c>
      <c r="K104" s="2">
        <f t="shared" si="2"/>
        <v>490</v>
      </c>
      <c r="L104" s="19">
        <f t="shared" si="3"/>
        <v>977</v>
      </c>
      <c r="M104" s="12"/>
      <c r="N104" s="12"/>
    </row>
    <row r="105" spans="1:14" x14ac:dyDescent="0.4">
      <c r="B105" s="2">
        <v>97</v>
      </c>
      <c r="C105" s="2" cm="1">
        <f t="array" ref="C105">ROUND(IF($B105&gt;$C$4,100%,_xlfn.IFS($B105&lt;=$K$2,($K$3-$J$3)/($K$2-$J$2)*(COUNTA($B$9:$B105)-$J$2)+$J$3,$B105&lt;=$L$2,($L$3-$K$3)/($L$2-$K$2)*(COUNTA($B$9:$B105)-$K$2)+$K$3,$B105&lt;=$M$2,($M$3-$L$3)/($M$2-$L$2)*(COUNTA($B$9:$B105)-$L$2)+$L$3,$B105&gt;$M$2,(100%-$M$3)/($C$4-$M$2)*(COUNTA($B$9:$B105)-$M$2)+$M$3))*100,2)</f>
        <v>98.2</v>
      </c>
      <c r="D105" s="2" cm="1">
        <f t="array" ref="D105">ROUND(IF($B105&gt;$C$4,100%,_xlfn.IFS($B105&lt;=$K$2,($K$3-$J$3)/($K$2-$J$2)*(COUNTA($B$9:$B105)-$J$2)+$J$3,$B105&lt;=$L$2,($L$3-$K$3)/($L$2-$K$2)*(COUNTA($B$9:$B105)-$K$2)+$K$3,$B105&lt;=$M$2,($M$3-$L$3)/($M$2-$L$2)*(COUNTA($B$9:$B105)-$L$2)+$L$3,$B105&gt;$M$2,(100%-$M$3)/($C$4-$M$2)*(COUNTA($B$9:$B105)-$M$2)+$M$3))*100,2)</f>
        <v>98.2</v>
      </c>
      <c r="E105" s="2" cm="1">
        <f t="array" ref="E105">ROUND(IF($B105&gt;$C$4,100%,_xlfn.IFS($B105&lt;=$K$2,($K$3-$J$3)/($K$2-$J$2)*(COUNTA($B$9:$B105)-$J$2)+$J$3,$B105&lt;=$L$2,($L$3-$K$3)/($L$2-$K$2)*(COUNTA($B$9:$B105)-$K$2)+$K$3,$B105&lt;=$M$2,($M$3-$L$3)/($M$2-$L$2)*(COUNTA($B$9:$B105)-$L$2)+$L$3,$B105&gt;$M$2,(100%-$M$3)/($C$4-$M$2)*(COUNTA($B$9:$B105)-$M$2)+$M$3))*100,2)</f>
        <v>98.2</v>
      </c>
      <c r="F105" s="12"/>
      <c r="G105" s="12"/>
      <c r="H105" s="12"/>
      <c r="J105" s="2">
        <f>ROUNDUP((($K$5-$J$5)*C105/100)+$J$5,0)</f>
        <v>984</v>
      </c>
      <c r="K105" s="2">
        <f t="shared" si="2"/>
        <v>492</v>
      </c>
      <c r="L105" s="19">
        <f t="shared" si="3"/>
        <v>983</v>
      </c>
      <c r="M105" s="12"/>
      <c r="N105" s="12"/>
    </row>
    <row r="106" spans="1:14" x14ac:dyDescent="0.4">
      <c r="B106" s="2">
        <v>98</v>
      </c>
      <c r="C106" s="2" cm="1">
        <f t="array" ref="C106">ROUND(IF($B106&gt;$C$4,100%,_xlfn.IFS($B106&lt;=$K$2,($K$3-$J$3)/($K$2-$J$2)*(COUNTA($B$9:$B106)-$J$2)+$J$3,$B106&lt;=$L$2,($L$3-$K$3)/($L$2-$K$2)*(COUNTA($B$9:$B106)-$K$2)+$K$3,$B106&lt;=$M$2,($M$3-$L$3)/($M$2-$L$2)*(COUNTA($B$9:$B106)-$L$2)+$L$3,$B106&gt;$M$2,(100%-$M$3)/($C$4-$M$2)*(COUNTA($B$9:$B106)-$M$2)+$M$3))*100,2)</f>
        <v>98.8</v>
      </c>
      <c r="D106" s="2" cm="1">
        <f t="array" ref="D106">ROUND(IF($B106&gt;$C$4,100%,_xlfn.IFS($B106&lt;=$K$2,($K$3-$J$3)/($K$2-$J$2)*(COUNTA($B$9:$B106)-$J$2)+$J$3,$B106&lt;=$L$2,($L$3-$K$3)/($L$2-$K$2)*(COUNTA($B$9:$B106)-$K$2)+$K$3,$B106&lt;=$M$2,($M$3-$L$3)/($M$2-$L$2)*(COUNTA($B$9:$B106)-$L$2)+$L$3,$B106&gt;$M$2,(100%-$M$3)/($C$4-$M$2)*(COUNTA($B$9:$B106)-$M$2)+$M$3))*100,2)</f>
        <v>98.8</v>
      </c>
      <c r="E106" s="2" cm="1">
        <f t="array" ref="E106">ROUND(IF($B106&gt;$C$4,100%,_xlfn.IFS($B106&lt;=$K$2,($K$3-$J$3)/($K$2-$J$2)*(COUNTA($B$9:$B106)-$J$2)+$J$3,$B106&lt;=$L$2,($L$3-$K$3)/($L$2-$K$2)*(COUNTA($B$9:$B106)-$K$2)+$K$3,$B106&lt;=$M$2,($M$3-$L$3)/($M$2-$L$2)*(COUNTA($B$9:$B106)-$L$2)+$L$3,$B106&gt;$M$2,(100%-$M$3)/($C$4-$M$2)*(COUNTA($B$9:$B106)-$M$2)+$M$3))*100,2)</f>
        <v>98.8</v>
      </c>
      <c r="F106" s="12"/>
      <c r="G106" s="12"/>
      <c r="H106" s="12"/>
      <c r="J106" s="2">
        <f>ROUNDUP((($K$5-$J$5)*C106/100)+$J$5,0)</f>
        <v>990</v>
      </c>
      <c r="K106" s="2">
        <f t="shared" si="2"/>
        <v>495</v>
      </c>
      <c r="L106" s="19">
        <f t="shared" si="3"/>
        <v>989</v>
      </c>
      <c r="M106" s="12"/>
      <c r="N106" s="12"/>
    </row>
    <row r="107" spans="1:14" x14ac:dyDescent="0.4">
      <c r="B107" s="2">
        <v>99</v>
      </c>
      <c r="C107" s="2" cm="1">
        <f t="array" ref="C107">ROUND(IF($B107&gt;$C$4,100%,_xlfn.IFS($B107&lt;=$K$2,($K$3-$J$3)/($K$2-$J$2)*(COUNTA($B$9:$B107)-$J$2)+$J$3,$B107&lt;=$L$2,($L$3-$K$3)/($L$2-$K$2)*(COUNTA($B$9:$B107)-$K$2)+$K$3,$B107&lt;=$M$2,($M$3-$L$3)/($M$2-$L$2)*(COUNTA($B$9:$B107)-$L$2)+$L$3,$B107&gt;$M$2,(100%-$M$3)/($C$4-$M$2)*(COUNTA($B$9:$B107)-$M$2)+$M$3))*100,2)</f>
        <v>99.4</v>
      </c>
      <c r="D107" s="2" cm="1">
        <f t="array" ref="D107">ROUND(IF($B107&gt;$C$4,100%,_xlfn.IFS($B107&lt;=$K$2,($K$3-$J$3)/($K$2-$J$2)*(COUNTA($B$9:$B107)-$J$2)+$J$3,$B107&lt;=$L$2,($L$3-$K$3)/($L$2-$K$2)*(COUNTA($B$9:$B107)-$K$2)+$K$3,$B107&lt;=$M$2,($M$3-$L$3)/($M$2-$L$2)*(COUNTA($B$9:$B107)-$L$2)+$L$3,$B107&gt;$M$2,(100%-$M$3)/($C$4-$M$2)*(COUNTA($B$9:$B107)-$M$2)+$M$3))*100,2)</f>
        <v>99.4</v>
      </c>
      <c r="E107" s="2" cm="1">
        <f t="array" ref="E107">ROUND(IF($B107&gt;$C$4,100%,_xlfn.IFS($B107&lt;=$K$2,($K$3-$J$3)/($K$2-$J$2)*(COUNTA($B$9:$B107)-$J$2)+$J$3,$B107&lt;=$L$2,($L$3-$K$3)/($L$2-$K$2)*(COUNTA($B$9:$B107)-$K$2)+$K$3,$B107&lt;=$M$2,($M$3-$L$3)/($M$2-$L$2)*(COUNTA($B$9:$B107)-$L$2)+$L$3,$B107&gt;$M$2,(100%-$M$3)/($C$4-$M$2)*(COUNTA($B$9:$B107)-$M$2)+$M$3))*100,2)</f>
        <v>99.4</v>
      </c>
      <c r="F107" s="12"/>
      <c r="G107" s="12"/>
      <c r="H107" s="12"/>
      <c r="J107" s="2">
        <f>ROUNDUP((($K$5-$J$5)*C107/100)+$J$5,0)</f>
        <v>995</v>
      </c>
      <c r="K107" s="2">
        <f t="shared" si="2"/>
        <v>498</v>
      </c>
      <c r="L107" s="19">
        <f t="shared" si="3"/>
        <v>995</v>
      </c>
      <c r="M107" s="12"/>
      <c r="N107" s="12"/>
    </row>
    <row r="108" spans="1:14" x14ac:dyDescent="0.4">
      <c r="B108" s="2">
        <v>100</v>
      </c>
      <c r="C108" s="2" cm="1">
        <f t="array" ref="C108">ROUND(IF($B108&gt;$C$4,100%,_xlfn.IFS($B108&lt;=$K$2,($K$3-$J$3)/($K$2-$J$2)*(COUNTA($B$9:$B108)-$J$2)+$J$3,$B108&lt;=$L$2,($L$3-$K$3)/($L$2-$K$2)*(COUNTA($B$9:$B108)-$K$2)+$K$3,$B108&lt;=$M$2,($M$3-$L$3)/($M$2-$L$2)*(COUNTA($B$9:$B108)-$L$2)+$L$3,$B108&gt;$M$2,(100%-$M$3)/($C$4-$M$2)*(COUNTA($B$9:$B108)-$M$2)+$M$3))*100,2)</f>
        <v>100</v>
      </c>
      <c r="D108" s="2" cm="1">
        <f t="array" ref="D108">ROUND(IF($B108&gt;$C$4,100%,_xlfn.IFS($B108&lt;=$K$2,($K$3-$J$3)/($K$2-$J$2)*(COUNTA($B$9:$B108)-$J$2)+$J$3,$B108&lt;=$L$2,($L$3-$K$3)/($L$2-$K$2)*(COUNTA($B$9:$B108)-$K$2)+$K$3,$B108&lt;=$M$2,($M$3-$L$3)/($M$2-$L$2)*(COUNTA($B$9:$B108)-$L$2)+$L$3,$B108&gt;$M$2,(100%-$M$3)/($C$4-$M$2)*(COUNTA($B$9:$B108)-$M$2)+$M$3))*100,2)</f>
        <v>100</v>
      </c>
      <c r="E108" s="2" cm="1">
        <f t="array" ref="E108">ROUND(IF($B108&gt;$C$4,100%,_xlfn.IFS($B108&lt;=$K$2,($K$3-$J$3)/($K$2-$J$2)*(COUNTA($B$9:$B108)-$J$2)+$J$3,$B108&lt;=$L$2,($L$3-$K$3)/($L$2-$K$2)*(COUNTA($B$9:$B108)-$K$2)+$K$3,$B108&lt;=$M$2,($M$3-$L$3)/($M$2-$L$2)*(COUNTA($B$9:$B108)-$L$2)+$L$3,$B108&gt;$M$2,(100%-$M$3)/($C$4-$M$2)*(COUNTA($B$9:$B108)-$M$2)+$M$3))*100,2)</f>
        <v>100</v>
      </c>
      <c r="F108" s="12"/>
      <c r="G108" s="12"/>
      <c r="H108" s="12"/>
      <c r="J108" s="2">
        <f>ROUNDUP((($K$5-$J$5)*C108/100)+$J$5,0)</f>
        <v>1000</v>
      </c>
      <c r="K108" s="2">
        <f t="shared" si="2"/>
        <v>500</v>
      </c>
      <c r="L108" s="19">
        <f t="shared" si="3"/>
        <v>1000</v>
      </c>
      <c r="M108" s="12"/>
      <c r="N108" s="12"/>
    </row>
    <row r="109" spans="1:14" x14ac:dyDescent="0.4">
      <c r="A109" s="1" t="s">
        <v>10</v>
      </c>
    </row>
  </sheetData>
  <phoneticPr fontId="1"/>
  <conditionalFormatting sqref="B9:H108 J9:N108">
    <cfRule type="expression" dxfId="0" priority="1">
      <formula>$B9&gt;$C$4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dataList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GOOFEES_0001</dc:creator>
  <cp:lastModifiedBy>堀田 雄大</cp:lastModifiedBy>
  <dcterms:created xsi:type="dcterms:W3CDTF">2022-04-21T03:07:55Z</dcterms:created>
  <dcterms:modified xsi:type="dcterms:W3CDTF">2025-06-27T09:15:54Z</dcterms:modified>
</cp:coreProperties>
</file>