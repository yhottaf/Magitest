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unity\works\mugen\mugen-projectdata\MUGEN\Assets\LeftRpg\Master\Excel\Exp\"/>
    </mc:Choice>
  </mc:AlternateContent>
  <xr:revisionPtr revIDLastSave="0" documentId="13_ncr:1_{82383024-FCE3-4CA3-AC0B-2FD47F2188AF}" xr6:coauthVersionLast="47" xr6:coauthVersionMax="47" xr10:uidLastSave="{00000000-0000-0000-0000-000000000000}"/>
  <bookViews>
    <workbookView xWindow="-120" yWindow="-120" windowWidth="29040" windowHeight="15840" xr2:uid="{0105857C-97C2-4CC3-8E9F-D7CE7751C3D5}"/>
  </bookViews>
  <sheets>
    <sheet name="data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1" l="1" a="1"/>
  <c r="C10" i="1" s="1"/>
  <c r="C11" i="1" s="1" a="1"/>
  <c r="C11" i="1" s="1"/>
  <c r="C12" i="1" s="1" a="1"/>
  <c r="C12" i="1" s="1"/>
  <c r="C13" i="1" s="1" a="1"/>
  <c r="C13" i="1" s="1"/>
  <c r="C14" i="1" s="1" a="1"/>
  <c r="C14" i="1" s="1"/>
  <c r="C15" i="1" s="1" a="1"/>
  <c r="C15" i="1" s="1"/>
  <c r="C16" i="1" s="1" a="1"/>
  <c r="C16" i="1" s="1"/>
  <c r="C17" i="1" s="1" a="1"/>
  <c r="C17" i="1" s="1"/>
  <c r="C18" i="1" s="1" a="1"/>
  <c r="C18" i="1" s="1"/>
  <c r="C19" i="1" s="1" a="1"/>
  <c r="C19" i="1" s="1"/>
  <c r="C20" i="1" s="1" a="1"/>
  <c r="C20" i="1" s="1"/>
  <c r="C21" i="1" s="1" a="1"/>
  <c r="C21" i="1" s="1"/>
  <c r="C22" i="1" s="1" a="1"/>
  <c r="C22" i="1" s="1"/>
  <c r="C23" i="1" s="1" a="1"/>
  <c r="C23" i="1" s="1"/>
  <c r="C24" i="1" s="1" a="1"/>
  <c r="C24" i="1" s="1"/>
  <c r="C25" i="1" s="1" a="1"/>
  <c r="C25" i="1" s="1"/>
  <c r="C26" i="1" s="1" a="1"/>
  <c r="C26" i="1" s="1"/>
  <c r="C27" i="1" s="1" a="1"/>
  <c r="C27" i="1" s="1"/>
  <c r="C28" i="1" s="1" a="1"/>
  <c r="C28" i="1" s="1"/>
  <c r="C29" i="1" s="1" a="1"/>
  <c r="C29" i="1" s="1"/>
  <c r="C30" i="1" s="1" a="1"/>
  <c r="C30" i="1" s="1"/>
  <c r="C31" i="1" s="1" a="1"/>
  <c r="C31" i="1" s="1"/>
  <c r="C32" i="1" s="1" a="1"/>
  <c r="C32" i="1" s="1"/>
  <c r="C33" i="1" s="1" a="1"/>
  <c r="C33" i="1" s="1"/>
  <c r="C34" i="1" s="1" a="1"/>
  <c r="C34" i="1" s="1"/>
  <c r="C35" i="1" s="1" a="1"/>
  <c r="C35" i="1" s="1"/>
  <c r="C36" i="1" s="1" a="1"/>
  <c r="C36" i="1" s="1"/>
  <c r="C37" i="1" s="1" a="1"/>
  <c r="C37" i="1" s="1"/>
  <c r="C38" i="1" s="1" a="1"/>
  <c r="C38" i="1" s="1"/>
  <c r="C39" i="1" s="1" a="1"/>
  <c r="C39" i="1" s="1"/>
  <c r="C40" i="1" s="1" a="1"/>
  <c r="C40" i="1" s="1"/>
  <c r="C41" i="1" s="1" a="1"/>
  <c r="C41" i="1" s="1"/>
  <c r="C42" i="1" s="1" a="1"/>
  <c r="C42" i="1" s="1"/>
  <c r="C43" i="1" s="1" a="1"/>
  <c r="C43" i="1" s="1"/>
  <c r="C44" i="1" s="1" a="1"/>
  <c r="C44" i="1" s="1"/>
  <c r="C45" i="1" s="1" a="1"/>
  <c r="C45" i="1" s="1"/>
  <c r="C46" i="1" s="1" a="1"/>
  <c r="C46" i="1" s="1"/>
  <c r="C47" i="1" s="1" a="1"/>
  <c r="C47" i="1" s="1"/>
  <c r="C48" i="1" s="1" a="1"/>
  <c r="C48" i="1" s="1"/>
  <c r="C49" i="1" s="1" a="1"/>
  <c r="C49" i="1" s="1"/>
  <c r="C50" i="1" s="1" a="1"/>
  <c r="C50" i="1" s="1"/>
  <c r="C51" i="1" s="1" a="1"/>
  <c r="C51" i="1" s="1"/>
  <c r="C52" i="1" s="1" a="1"/>
  <c r="C52" i="1" s="1"/>
  <c r="C53" i="1" s="1" a="1"/>
  <c r="C53" i="1" s="1"/>
  <c r="C54" i="1" s="1" a="1"/>
  <c r="C54" i="1" s="1"/>
  <c r="C55" i="1" s="1" a="1"/>
  <c r="C55" i="1" s="1"/>
  <c r="C56" i="1" s="1" a="1"/>
  <c r="C56" i="1" s="1"/>
  <c r="C57" i="1" s="1" a="1"/>
  <c r="C57" i="1" s="1"/>
  <c r="C58" i="1" s="1" a="1"/>
  <c r="C58" i="1" s="1"/>
  <c r="C59" i="1" s="1" a="1"/>
  <c r="C59" i="1" s="1"/>
  <c r="C60" i="1" s="1" a="1"/>
  <c r="C60" i="1" s="1"/>
  <c r="C61" i="1" s="1" a="1"/>
  <c r="C61" i="1" s="1"/>
  <c r="C62" i="1" s="1" a="1"/>
  <c r="C62" i="1" s="1"/>
  <c r="C63" i="1" s="1" a="1"/>
  <c r="C63" i="1" s="1"/>
  <c r="C64" i="1" s="1" a="1"/>
  <c r="C64" i="1" s="1"/>
  <c r="C65" i="1" s="1" a="1"/>
  <c r="C65" i="1" s="1"/>
  <c r="C66" i="1" s="1" a="1"/>
  <c r="C66" i="1" s="1"/>
  <c r="C67" i="1" s="1" a="1"/>
  <c r="C67" i="1" s="1"/>
  <c r="C68" i="1" s="1" a="1"/>
  <c r="C68" i="1" s="1"/>
  <c r="C69" i="1" s="1" a="1"/>
  <c r="C69" i="1" s="1"/>
  <c r="C70" i="1" s="1" a="1"/>
  <c r="C70" i="1" s="1"/>
  <c r="C71" i="1" s="1" a="1"/>
  <c r="C71" i="1" s="1"/>
  <c r="C72" i="1" s="1" a="1"/>
  <c r="C72" i="1" s="1"/>
  <c r="C73" i="1" s="1" a="1"/>
  <c r="C73" i="1" s="1"/>
  <c r="C74" i="1" s="1" a="1"/>
  <c r="C74" i="1" s="1"/>
  <c r="C75" i="1" s="1" a="1"/>
  <c r="C75" i="1" s="1"/>
  <c r="C76" i="1" s="1" a="1"/>
  <c r="C76" i="1" s="1"/>
  <c r="C77" i="1" s="1" a="1"/>
  <c r="C77" i="1" s="1"/>
  <c r="C78" i="1" s="1" a="1"/>
  <c r="C78" i="1" s="1"/>
  <c r="C79" i="1" s="1" a="1"/>
  <c r="C79" i="1" s="1"/>
  <c r="C80" i="1" s="1" a="1"/>
  <c r="C80" i="1" s="1"/>
  <c r="C81" i="1" s="1" a="1"/>
  <c r="C81" i="1" s="1"/>
  <c r="C82" i="1" s="1" a="1"/>
  <c r="C82" i="1" s="1"/>
  <c r="C83" i="1" s="1" a="1"/>
  <c r="C83" i="1" s="1"/>
  <c r="C84" i="1" s="1" a="1"/>
  <c r="C84" i="1" s="1"/>
  <c r="C85" i="1" s="1" a="1"/>
  <c r="C85" i="1" s="1"/>
  <c r="C86" i="1" s="1" a="1"/>
  <c r="C86" i="1" s="1"/>
  <c r="C87" i="1" s="1" a="1"/>
  <c r="C87" i="1" s="1"/>
  <c r="C88" i="1" s="1" a="1"/>
  <c r="C88" i="1" s="1"/>
  <c r="C89" i="1" s="1" a="1"/>
  <c r="C89" i="1" s="1"/>
  <c r="C90" i="1" s="1" a="1"/>
  <c r="C90" i="1" s="1"/>
  <c r="C91" i="1" s="1" a="1"/>
  <c r="C91" i="1" s="1"/>
  <c r="C92" i="1" s="1" a="1"/>
  <c r="C92" i="1" s="1"/>
  <c r="C93" i="1" s="1" a="1"/>
  <c r="C93" i="1" s="1"/>
  <c r="C94" i="1" s="1" a="1"/>
  <c r="C94" i="1" s="1"/>
  <c r="C95" i="1" s="1" a="1"/>
  <c r="C95" i="1" s="1"/>
  <c r="C96" i="1" s="1" a="1"/>
  <c r="C96" i="1" s="1"/>
  <c r="C97" i="1" s="1" a="1"/>
  <c r="C97" i="1" s="1"/>
  <c r="C98" i="1" s="1" a="1"/>
  <c r="C98" i="1" s="1"/>
  <c r="C99" i="1" s="1" a="1"/>
  <c r="C99" i="1" s="1"/>
  <c r="C100" i="1" s="1" a="1"/>
  <c r="C100" i="1" s="1"/>
  <c r="C101" i="1" s="1" a="1"/>
  <c r="C101" i="1" s="1"/>
  <c r="C102" i="1" s="1" a="1"/>
  <c r="C102" i="1" s="1"/>
  <c r="C103" i="1" s="1" a="1"/>
  <c r="C103" i="1" s="1"/>
  <c r="C104" i="1" s="1" a="1"/>
  <c r="C104" i="1" s="1"/>
  <c r="C105" i="1" s="1" a="1"/>
  <c r="C105" i="1" s="1"/>
  <c r="C106" i="1" s="1" a="1"/>
  <c r="C106" i="1" s="1"/>
  <c r="C107" i="1" s="1" a="1"/>
  <c r="C107" i="1" s="1"/>
  <c r="C5" i="1"/>
  <c r="F4" i="1" s="1"/>
  <c r="C9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<sst xmlns="http://schemas.openxmlformats.org/spreadsheetml/2006/main" count="22" uniqueCount="17">
  <si>
    <t>#</t>
    <phoneticPr fontId="2"/>
  </si>
  <si>
    <t>#end</t>
    <phoneticPr fontId="2"/>
  </si>
  <si>
    <t>最高レベル</t>
    <rPh sb="0" eb="2">
      <t>サイコウ</t>
    </rPh>
    <phoneticPr fontId="2"/>
  </si>
  <si>
    <t>経験値テーブル</t>
    <rPh sb="0" eb="3">
      <t>ケイケンチ</t>
    </rPh>
    <phoneticPr fontId="2"/>
  </si>
  <si>
    <t>レアリティ</t>
    <phoneticPr fontId="1"/>
  </si>
  <si>
    <t>成長しやすさ</t>
    <rPh sb="0" eb="2">
      <t>セイチョウ</t>
    </rPh>
    <phoneticPr fontId="1"/>
  </si>
  <si>
    <t>普通</t>
    <rPh sb="0" eb="2">
      <t>フツウ</t>
    </rPh>
    <phoneticPr fontId="1"/>
  </si>
  <si>
    <t>変化タイミング</t>
    <rPh sb="0" eb="2">
      <t>ヘンカ</t>
    </rPh>
    <phoneticPr fontId="1"/>
  </si>
  <si>
    <t>一回目</t>
    <rPh sb="0" eb="3">
      <t>イッカイメ</t>
    </rPh>
    <phoneticPr fontId="1"/>
  </si>
  <si>
    <t>二回目</t>
    <rPh sb="0" eb="3">
      <t>ニカイメ</t>
    </rPh>
    <phoneticPr fontId="1"/>
  </si>
  <si>
    <t>三回目</t>
    <rPh sb="0" eb="1">
      <t>ミ</t>
    </rPh>
    <rPh sb="1" eb="3">
      <t>カイメ</t>
    </rPh>
    <phoneticPr fontId="1"/>
  </si>
  <si>
    <t>初期値</t>
    <rPh sb="0" eb="3">
      <t>ショキチ</t>
    </rPh>
    <phoneticPr fontId="1"/>
  </si>
  <si>
    <t>基礎経験値</t>
    <rPh sb="0" eb="2">
      <t>キソ</t>
    </rPh>
    <rPh sb="2" eb="5">
      <t>ケイケンチ</t>
    </rPh>
    <phoneticPr fontId="2"/>
  </si>
  <si>
    <t>乗算係数</t>
    <rPh sb="0" eb="2">
      <t>ジョウサン</t>
    </rPh>
    <rPh sb="2" eb="4">
      <t>ケイスウ</t>
    </rPh>
    <phoneticPr fontId="1"/>
  </si>
  <si>
    <t>加算係数</t>
    <rPh sb="0" eb="2">
      <t>カサン</t>
    </rPh>
    <rPh sb="2" eb="4">
      <t>ケイスウ</t>
    </rPh>
    <phoneticPr fontId="1"/>
  </si>
  <si>
    <t>level</t>
    <phoneticPr fontId="2"/>
  </si>
  <si>
    <t>totalExp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</si>
</sst>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i/>
      <sz val="11"/>
      <color theme="1"/>
      <name val="游ゴシック"/>
      <family val="2"/>
      <scheme val="minor"/>
    </font>
    <font>
      <sz val="11"/>
      <name val="游ゴシック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/>
    <xf numFmtId="0" fontId="0" fillId="2" borderId="1" xfId="0" applyFill="1" applyBorder="1" applyAlignment="1"/>
    <xf numFmtId="0" fontId="0" fillId="0" borderId="1" xfId="0" applyBorder="1" applyAlignment="1"/>
    <xf numFmtId="2" fontId="0" fillId="0" borderId="0" xfId="0" applyNumberFormat="1" applyAlignment="1"/>
    <xf numFmtId="0" fontId="4" fillId="0" borderId="1" xfId="0" applyFont="1" applyFill="1" applyBorder="1" applyAlignment="1"/>
    <xf numFmtId="0" fontId="0" fillId="4" borderId="1" xfId="0" applyFill="1" applyBorder="1" applyAlignment="1"/>
    <xf numFmtId="0" fontId="0" fillId="2" borderId="2" xfId="0" applyFill="1" applyBorder="1" applyAlignment="1"/>
    <xf numFmtId="0" fontId="0" fillId="0" borderId="1" xfId="0" applyFill="1" applyBorder="1" applyAlignment="1"/>
    <xf numFmtId="0" fontId="0" fillId="3" borderId="1" xfId="0" applyFill="1" applyBorder="1" applyAlignment="1"/>
    <xf numFmtId="0" fontId="3" fillId="0" borderId="1" xfId="0" applyFont="1" applyFill="1" applyBorder="1" applyAlignment="1"/>
  </cellXfs>
  <cellStyles count="1">
    <cellStyle name="標準" xfId="0" builtinId="0"/>
  </cellStyles>
  <dxfs count="1">
    <dxf>
      <font>
        <color theme="0"/>
      </font>
      <fill>
        <patternFill>
          <bgColor theme="1" tint="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必要経験値グラフくん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dataList!$C$9:$C$107</c:f>
              <c:numCache>
                <c:formatCode>General</c:formatCode>
                <c:ptCount val="99"/>
                <c:pt idx="0">
                  <c:v>250</c:v>
                </c:pt>
                <c:pt idx="1">
                  <c:v>505</c:v>
                </c:pt>
                <c:pt idx="2">
                  <c:v>763</c:v>
                </c:pt>
                <c:pt idx="3">
                  <c:v>1023</c:v>
                </c:pt>
                <c:pt idx="4">
                  <c:v>1286</c:v>
                </c:pt>
                <c:pt idx="5">
                  <c:v>1551</c:v>
                </c:pt>
                <c:pt idx="6">
                  <c:v>1819</c:v>
                </c:pt>
                <c:pt idx="7">
                  <c:v>2090</c:v>
                </c:pt>
                <c:pt idx="8">
                  <c:v>2363</c:v>
                </c:pt>
                <c:pt idx="9">
                  <c:v>2563</c:v>
                </c:pt>
                <c:pt idx="10">
                  <c:v>2767</c:v>
                </c:pt>
                <c:pt idx="11">
                  <c:v>2975</c:v>
                </c:pt>
                <c:pt idx="12">
                  <c:v>3188</c:v>
                </c:pt>
                <c:pt idx="13">
                  <c:v>3405</c:v>
                </c:pt>
                <c:pt idx="14">
                  <c:v>3626</c:v>
                </c:pt>
                <c:pt idx="15">
                  <c:v>3852</c:v>
                </c:pt>
                <c:pt idx="16">
                  <c:v>4082</c:v>
                </c:pt>
                <c:pt idx="17">
                  <c:v>4317</c:v>
                </c:pt>
                <c:pt idx="18">
                  <c:v>4556</c:v>
                </c:pt>
                <c:pt idx="19">
                  <c:v>4878</c:v>
                </c:pt>
                <c:pt idx="20">
                  <c:v>5210</c:v>
                </c:pt>
                <c:pt idx="21">
                  <c:v>5552</c:v>
                </c:pt>
                <c:pt idx="22">
                  <c:v>5904</c:v>
                </c:pt>
                <c:pt idx="23">
                  <c:v>6267</c:v>
                </c:pt>
                <c:pt idx="24">
                  <c:v>6843</c:v>
                </c:pt>
                <c:pt idx="25">
                  <c:v>7448</c:v>
                </c:pt>
                <c:pt idx="26">
                  <c:v>8083</c:v>
                </c:pt>
                <c:pt idx="27">
                  <c:v>8750</c:v>
                </c:pt>
                <c:pt idx="28">
                  <c:v>9450</c:v>
                </c:pt>
                <c:pt idx="29">
                  <c:v>10185</c:v>
                </c:pt>
                <c:pt idx="30">
                  <c:v>10957</c:v>
                </c:pt>
                <c:pt idx="31">
                  <c:v>11767</c:v>
                </c:pt>
                <c:pt idx="32">
                  <c:v>12618</c:v>
                </c:pt>
                <c:pt idx="33">
                  <c:v>13511</c:v>
                </c:pt>
                <c:pt idx="34">
                  <c:v>14449</c:v>
                </c:pt>
                <c:pt idx="35">
                  <c:v>15434</c:v>
                </c:pt>
                <c:pt idx="36">
                  <c:v>16468</c:v>
                </c:pt>
                <c:pt idx="37">
                  <c:v>17554</c:v>
                </c:pt>
                <c:pt idx="38">
                  <c:v>18694</c:v>
                </c:pt>
                <c:pt idx="39">
                  <c:v>19891</c:v>
                </c:pt>
                <c:pt idx="40">
                  <c:v>21148</c:v>
                </c:pt>
                <c:pt idx="41">
                  <c:v>22468</c:v>
                </c:pt>
                <c:pt idx="42">
                  <c:v>23854</c:v>
                </c:pt>
                <c:pt idx="43">
                  <c:v>25309</c:v>
                </c:pt>
                <c:pt idx="44">
                  <c:v>26837</c:v>
                </c:pt>
                <c:pt idx="45">
                  <c:v>28441</c:v>
                </c:pt>
                <c:pt idx="46">
                  <c:v>30126</c:v>
                </c:pt>
                <c:pt idx="47">
                  <c:v>31895</c:v>
                </c:pt>
                <c:pt idx="48">
                  <c:v>33752</c:v>
                </c:pt>
                <c:pt idx="49">
                  <c:v>35702</c:v>
                </c:pt>
                <c:pt idx="50">
                  <c:v>37750</c:v>
                </c:pt>
                <c:pt idx="51">
                  <c:v>39900</c:v>
                </c:pt>
                <c:pt idx="52">
                  <c:v>42158</c:v>
                </c:pt>
                <c:pt idx="53">
                  <c:v>44528</c:v>
                </c:pt>
                <c:pt idx="54">
                  <c:v>47017</c:v>
                </c:pt>
                <c:pt idx="55">
                  <c:v>49630</c:v>
                </c:pt>
                <c:pt idx="56">
                  <c:v>52374</c:v>
                </c:pt>
                <c:pt idx="57">
                  <c:v>55255</c:v>
                </c:pt>
                <c:pt idx="58">
                  <c:v>58280</c:v>
                </c:pt>
                <c:pt idx="59">
                  <c:v>61457</c:v>
                </c:pt>
                <c:pt idx="60">
                  <c:v>64792</c:v>
                </c:pt>
                <c:pt idx="61">
                  <c:v>68294</c:v>
                </c:pt>
                <c:pt idx="62">
                  <c:v>71971</c:v>
                </c:pt>
                <c:pt idx="63">
                  <c:v>75832</c:v>
                </c:pt>
                <c:pt idx="64">
                  <c:v>79886</c:v>
                </c:pt>
                <c:pt idx="65">
                  <c:v>84143</c:v>
                </c:pt>
                <c:pt idx="66">
                  <c:v>88613</c:v>
                </c:pt>
                <c:pt idx="67">
                  <c:v>93306</c:v>
                </c:pt>
                <c:pt idx="68">
                  <c:v>98234</c:v>
                </c:pt>
                <c:pt idx="69">
                  <c:v>103408</c:v>
                </c:pt>
                <c:pt idx="70">
                  <c:v>108841</c:v>
                </c:pt>
                <c:pt idx="71">
                  <c:v>114546</c:v>
                </c:pt>
                <c:pt idx="72">
                  <c:v>120536</c:v>
                </c:pt>
                <c:pt idx="73">
                  <c:v>126825</c:v>
                </c:pt>
                <c:pt idx="74">
                  <c:v>133429</c:v>
                </c:pt>
                <c:pt idx="75">
                  <c:v>140363</c:v>
                </c:pt>
                <c:pt idx="76">
                  <c:v>147644</c:v>
                </c:pt>
                <c:pt idx="77">
                  <c:v>155289</c:v>
                </c:pt>
                <c:pt idx="78">
                  <c:v>163316</c:v>
                </c:pt>
                <c:pt idx="79">
                  <c:v>171744</c:v>
                </c:pt>
                <c:pt idx="80">
                  <c:v>180594</c:v>
                </c:pt>
                <c:pt idx="81">
                  <c:v>189886</c:v>
                </c:pt>
                <c:pt idx="82">
                  <c:v>199643</c:v>
                </c:pt>
                <c:pt idx="83">
                  <c:v>209888</c:v>
                </c:pt>
                <c:pt idx="84">
                  <c:v>220645</c:v>
                </c:pt>
                <c:pt idx="85">
                  <c:v>231940</c:v>
                </c:pt>
                <c:pt idx="86">
                  <c:v>243800</c:v>
                </c:pt>
                <c:pt idx="87">
                  <c:v>256253</c:v>
                </c:pt>
                <c:pt idx="88">
                  <c:v>269328</c:v>
                </c:pt>
                <c:pt idx="89">
                  <c:v>283057</c:v>
                </c:pt>
                <c:pt idx="90">
                  <c:v>297472</c:v>
                </c:pt>
                <c:pt idx="91">
                  <c:v>312608</c:v>
                </c:pt>
                <c:pt idx="92">
                  <c:v>328501</c:v>
                </c:pt>
                <c:pt idx="93">
                  <c:v>345189</c:v>
                </c:pt>
                <c:pt idx="94">
                  <c:v>362711</c:v>
                </c:pt>
                <c:pt idx="95">
                  <c:v>381109</c:v>
                </c:pt>
                <c:pt idx="96">
                  <c:v>400427</c:v>
                </c:pt>
                <c:pt idx="97">
                  <c:v>420711</c:v>
                </c:pt>
                <c:pt idx="98">
                  <c:v>442009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E-4152-A98A-752BA52636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1621072"/>
        <c:axId val="623608608"/>
      </c:lineChart>
      <c:catAx>
        <c:axId val="6716210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23608608"/>
        <c:crosses val="autoZero"/>
        <c:auto val="1"/>
        <c:lblAlgn val="ctr"/>
        <c:lblOffset val="100"/>
        <c:noMultiLvlLbl val="0"/>
      </c:catAx>
      <c:valAx>
        <c:axId val="62360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71621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14286</xdr:colOff>
      <xdr:row>5</xdr:row>
      <xdr:rowOff>19049</xdr:rowOff>
    </xdr:from>
    <xdr:to>
      <xdr:col>9</xdr:col>
      <xdr:colOff>800099</xdr:colOff>
      <xdr:row>24</xdr:row>
      <xdr:rowOff>209549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EA2864F2-9581-4717-92B0-708C1F8677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A984E-E79E-45DC-BEAC-BA31BD5B6FF8}">
  <dimension ref="A1:N108"/>
  <sheetViews>
    <sheetView tabSelected="1" workbookViewId="0">
      <selection activeCell="C5" sqref="C5"/>
    </sheetView>
  </sheetViews>
  <sheetFormatPr defaultColWidth="8.875" defaultRowHeight="18.75" x14ac:dyDescent="0.4"/>
  <cols>
    <col min="1" max="1" width="8.875" style="1"/>
    <col min="2" max="2" width="12" style="1" customWidth="1"/>
    <col min="3" max="3" width="11.5" style="1" customWidth="1"/>
    <col min="4" max="4" width="10.625" style="1" customWidth="1"/>
    <col min="5" max="5" width="15.5" style="1" customWidth="1"/>
    <col min="6" max="11" width="10.625" style="1" customWidth="1"/>
    <col min="12" max="14" width="6.125" style="1" customWidth="1"/>
    <col min="15" max="16384" width="8.875" style="1"/>
  </cols>
  <sheetData>
    <row r="1" spans="1:14" x14ac:dyDescent="0.4">
      <c r="A1" s="1" t="s">
        <v>0</v>
      </c>
      <c r="B1" s="1" t="s">
        <v>3</v>
      </c>
      <c r="L1" s="3">
        <v>1</v>
      </c>
      <c r="M1" s="3">
        <v>30</v>
      </c>
      <c r="N1" s="3">
        <v>100</v>
      </c>
    </row>
    <row r="2" spans="1:14" x14ac:dyDescent="0.4">
      <c r="A2" s="1" t="s">
        <v>0</v>
      </c>
      <c r="B2" s="2" t="s">
        <v>4</v>
      </c>
      <c r="C2" s="9">
        <v>6</v>
      </c>
      <c r="F2" s="6" t="s">
        <v>11</v>
      </c>
      <c r="G2" s="6" t="s">
        <v>8</v>
      </c>
      <c r="H2" s="6" t="s">
        <v>9</v>
      </c>
      <c r="I2" s="6" t="s">
        <v>10</v>
      </c>
      <c r="L2" s="3">
        <v>2</v>
      </c>
      <c r="M2" s="3">
        <v>40</v>
      </c>
      <c r="N2" s="3">
        <v>120</v>
      </c>
    </row>
    <row r="3" spans="1:14" x14ac:dyDescent="0.4">
      <c r="A3" s="1" t="s">
        <v>0</v>
      </c>
      <c r="B3" s="2" t="s">
        <v>5</v>
      </c>
      <c r="C3" s="3" t="s">
        <v>6</v>
      </c>
      <c r="E3" s="7" t="s">
        <v>7</v>
      </c>
      <c r="F3" s="9">
        <v>1</v>
      </c>
      <c r="G3" s="9">
        <v>10</v>
      </c>
      <c r="H3" s="9">
        <v>20</v>
      </c>
      <c r="I3" s="9">
        <v>25</v>
      </c>
      <c r="L3" s="3">
        <v>3</v>
      </c>
      <c r="M3" s="3">
        <v>50</v>
      </c>
      <c r="N3" s="8">
        <v>150</v>
      </c>
    </row>
    <row r="4" spans="1:14" x14ac:dyDescent="0.4">
      <c r="A4" s="1" t="s">
        <v>0</v>
      </c>
      <c r="B4" s="2" t="s">
        <v>2</v>
      </c>
      <c r="C4" s="10">
        <v>100</v>
      </c>
      <c r="E4" s="2" t="s">
        <v>14</v>
      </c>
      <c r="F4" s="8">
        <f>C5</f>
        <v>250</v>
      </c>
      <c r="G4" s="9">
        <v>150</v>
      </c>
      <c r="H4" s="9">
        <v>180</v>
      </c>
      <c r="I4" s="9">
        <v>250</v>
      </c>
      <c r="L4" s="3">
        <v>4</v>
      </c>
      <c r="M4" s="3">
        <v>60</v>
      </c>
      <c r="N4" s="8">
        <v>180</v>
      </c>
    </row>
    <row r="5" spans="1:14" x14ac:dyDescent="0.4">
      <c r="A5" s="1" t="s">
        <v>0</v>
      </c>
      <c r="B5" s="2" t="s">
        <v>12</v>
      </c>
      <c r="C5" s="10">
        <f>VLOOKUP($C$2,$L$1:$N$6,3,FALSE)</f>
        <v>250</v>
      </c>
      <c r="E5" s="2" t="s">
        <v>13</v>
      </c>
      <c r="F5" s="9">
        <v>1.01</v>
      </c>
      <c r="G5" s="9">
        <v>1.02</v>
      </c>
      <c r="H5" s="9">
        <v>1.03</v>
      </c>
      <c r="I5" s="9">
        <v>1.05</v>
      </c>
      <c r="L5" s="3">
        <v>5</v>
      </c>
      <c r="M5" s="3">
        <v>70</v>
      </c>
      <c r="N5" s="8">
        <v>200</v>
      </c>
    </row>
    <row r="6" spans="1:14" x14ac:dyDescent="0.4">
      <c r="A6" s="1" t="s">
        <v>0</v>
      </c>
      <c r="L6" s="3">
        <v>6</v>
      </c>
      <c r="M6" s="3">
        <v>80</v>
      </c>
      <c r="N6" s="8">
        <v>250</v>
      </c>
    </row>
    <row r="7" spans="1:14" x14ac:dyDescent="0.4">
      <c r="B7" s="6" t="s">
        <v>15</v>
      </c>
      <c r="C7" s="6" t="s">
        <v>16</v>
      </c>
    </row>
    <row r="8" spans="1:14" x14ac:dyDescent="0.4">
      <c r="B8" s="3">
        <v>1</v>
      </c>
      <c r="C8" s="3">
        <v>0</v>
      </c>
    </row>
    <row r="9" spans="1:14" x14ac:dyDescent="0.4">
      <c r="B9" s="3">
        <v>2</v>
      </c>
      <c r="C9" s="3">
        <f>$C$5</f>
        <v>250</v>
      </c>
      <c r="D9" s="4"/>
      <c r="E9" s="4"/>
      <c r="F9" s="4"/>
      <c r="G9" s="4"/>
      <c r="H9" s="4"/>
    </row>
    <row r="10" spans="1:14" x14ac:dyDescent="0.4">
      <c r="B10" s="3">
        <v>3</v>
      </c>
      <c r="C10" s="3" cm="1">
        <f t="array" ref="C10">IF($B10&gt;$C$4,C9+1,ROUND(_xlfn.IFS($B10&lt;=$G$3,($C9+$F$4)*$F$5,$B10&lt;=$H$3,($C9+$G$4)*$G$5,$B10&lt;=$I$3,($C9+$H$4)*$H$5,$B10&gt;$I$3,($C9+$I$4)*$I$5),0))</f>
        <v>505</v>
      </c>
      <c r="D10" s="4"/>
      <c r="E10" s="4"/>
      <c r="F10" s="4"/>
      <c r="G10" s="4"/>
      <c r="H10" s="4"/>
    </row>
    <row r="11" spans="1:14" x14ac:dyDescent="0.4">
      <c r="B11" s="3">
        <v>4</v>
      </c>
      <c r="C11" s="3" cm="1">
        <f t="array" ref="C11">IF($B11&gt;$C$4,C10+1,ROUND(_xlfn.IFS($B11&lt;=$G$3,($C10+$F$4)*$F$5,$B11&lt;=$H$3,($C10+$G$4)*$G$5,$B11&lt;=$I$3,($C10+$H$4)*$H$5,$B11&gt;$I$3,($C10+$I$4)*$I$5),0))</f>
        <v>763</v>
      </c>
      <c r="D11" s="4"/>
      <c r="E11" s="4"/>
      <c r="F11" s="4"/>
      <c r="G11" s="4"/>
      <c r="H11" s="4"/>
    </row>
    <row r="12" spans="1:14" x14ac:dyDescent="0.4">
      <c r="B12" s="3">
        <v>5</v>
      </c>
      <c r="C12" s="3" cm="1">
        <f t="array" ref="C12">IF($B12&gt;$C$4,C11+1,ROUND(_xlfn.IFS($B12&lt;=$G$3,($C11+$F$4)*$F$5,$B12&lt;=$H$3,($C11+$G$4)*$G$5,$B12&lt;=$I$3,($C11+$H$4)*$H$5,$B12&gt;$I$3,($C11+$I$4)*$I$5),0))</f>
        <v>1023</v>
      </c>
      <c r="D12" s="4"/>
      <c r="E12" s="4"/>
      <c r="F12" s="4"/>
      <c r="G12" s="4"/>
      <c r="H12" s="4"/>
    </row>
    <row r="13" spans="1:14" x14ac:dyDescent="0.4">
      <c r="B13" s="3">
        <v>6</v>
      </c>
      <c r="C13" s="3" cm="1">
        <f t="array" ref="C13">IF($B13&gt;$C$4,C12+1,ROUND(_xlfn.IFS($B13&lt;=$G$3,($C12+$F$4)*$F$5,$B13&lt;=$H$3,($C12+$G$4)*$G$5,$B13&lt;=$I$3,($C12+$H$4)*$H$5,$B13&gt;$I$3,($C12+$I$4)*$I$5),0))</f>
        <v>1286</v>
      </c>
      <c r="D13" s="4"/>
      <c r="E13" s="4"/>
      <c r="F13" s="4"/>
      <c r="G13" s="4"/>
      <c r="H13" s="4"/>
    </row>
    <row r="14" spans="1:14" x14ac:dyDescent="0.4">
      <c r="B14" s="3">
        <v>7</v>
      </c>
      <c r="C14" s="3" cm="1">
        <f t="array" ref="C14">IF($B14&gt;$C$4,C13+1,ROUND(_xlfn.IFS($B14&lt;=$G$3,($C13+$F$4)*$F$5,$B14&lt;=$H$3,($C13+$G$4)*$G$5,$B14&lt;=$I$3,($C13+$H$4)*$H$5,$B14&gt;$I$3,($C13+$I$4)*$I$5),0))</f>
        <v>1551</v>
      </c>
      <c r="D14" s="4"/>
      <c r="E14" s="4"/>
      <c r="F14" s="4"/>
      <c r="G14" s="4"/>
      <c r="H14" s="4"/>
    </row>
    <row r="15" spans="1:14" x14ac:dyDescent="0.4">
      <c r="B15" s="3">
        <v>8</v>
      </c>
      <c r="C15" s="3" cm="1">
        <f t="array" ref="C15">IF($B15&gt;$C$4,C14+1,ROUND(_xlfn.IFS($B15&lt;=$G$3,($C14+$F$4)*$F$5,$B15&lt;=$H$3,($C14+$G$4)*$G$5,$B15&lt;=$I$3,($C14+$H$4)*$H$5,$B15&gt;$I$3,($C14+$I$4)*$I$5),0))</f>
        <v>1819</v>
      </c>
      <c r="D15" s="4"/>
      <c r="E15" s="4"/>
      <c r="F15" s="4"/>
      <c r="G15" s="4"/>
      <c r="H15" s="4"/>
    </row>
    <row r="16" spans="1:14" x14ac:dyDescent="0.4">
      <c r="B16" s="3">
        <v>9</v>
      </c>
      <c r="C16" s="3" cm="1">
        <f t="array" ref="C16">IF($B16&gt;$C$4,C15+1,ROUND(_xlfn.IFS($B16&lt;=$G$3,($C15+$F$4)*$F$5,$B16&lt;=$H$3,($C15+$G$4)*$G$5,$B16&lt;=$I$3,($C15+$H$4)*$H$5,$B16&gt;$I$3,($C15+$I$4)*$I$5),0))</f>
        <v>2090</v>
      </c>
      <c r="D16" s="4"/>
      <c r="E16" s="4"/>
      <c r="F16" s="4"/>
      <c r="G16" s="4"/>
      <c r="H16" s="4"/>
    </row>
    <row r="17" spans="2:8" x14ac:dyDescent="0.4">
      <c r="B17" s="3">
        <v>10</v>
      </c>
      <c r="C17" s="3" cm="1">
        <f t="array" ref="C17">IF($B17&gt;$C$4,C16+1,ROUND(_xlfn.IFS($B17&lt;=$G$3,($C16+$F$4)*$F$5,$B17&lt;=$H$3,($C16+$G$4)*$G$5,$B17&lt;=$I$3,($C16+$H$4)*$H$5,$B17&gt;$I$3,($C16+$I$4)*$I$5),0))</f>
        <v>2363</v>
      </c>
      <c r="D17" s="4"/>
      <c r="E17" s="4"/>
      <c r="F17" s="4"/>
      <c r="G17" s="4"/>
      <c r="H17" s="4"/>
    </row>
    <row r="18" spans="2:8" x14ac:dyDescent="0.4">
      <c r="B18" s="3">
        <v>11</v>
      </c>
      <c r="C18" s="3" cm="1">
        <f t="array" ref="C18">IF($B18&gt;$C$4,C17+1,ROUND(_xlfn.IFS($B18&lt;=$G$3,($C17+$F$4)*$F$5,$B18&lt;=$H$3,($C17+$G$4)*$G$5,$B18&lt;=$I$3,($C17+$H$4)*$H$5,$B18&gt;$I$3,($C17+$I$4)*$I$5),0))</f>
        <v>2563</v>
      </c>
      <c r="D18" s="4"/>
      <c r="E18" s="4"/>
      <c r="F18" s="4"/>
      <c r="G18" s="4"/>
      <c r="H18" s="4"/>
    </row>
    <row r="19" spans="2:8" x14ac:dyDescent="0.4">
      <c r="B19" s="3">
        <v>12</v>
      </c>
      <c r="C19" s="3" cm="1">
        <f t="array" ref="C19">IF($B19&gt;$C$4,C18+1,ROUND(_xlfn.IFS($B19&lt;=$G$3,($C18+$F$4)*$F$5,$B19&lt;=$H$3,($C18+$G$4)*$G$5,$B19&lt;=$I$3,($C18+$H$4)*$H$5,$B19&gt;$I$3,($C18+$I$4)*$I$5),0))</f>
        <v>2767</v>
      </c>
      <c r="D19" s="4"/>
      <c r="E19" s="4"/>
      <c r="F19" s="4"/>
      <c r="G19" s="4"/>
      <c r="H19" s="4"/>
    </row>
    <row r="20" spans="2:8" x14ac:dyDescent="0.4">
      <c r="B20" s="3">
        <v>13</v>
      </c>
      <c r="C20" s="3" cm="1">
        <f t="array" ref="C20">IF($B20&gt;$C$4,C19+1,ROUND(_xlfn.IFS($B20&lt;=$G$3,($C19+$F$4)*$F$5,$B20&lt;=$H$3,($C19+$G$4)*$G$5,$B20&lt;=$I$3,($C19+$H$4)*$H$5,$B20&gt;$I$3,($C19+$I$4)*$I$5),0))</f>
        <v>2975</v>
      </c>
      <c r="D20" s="4"/>
      <c r="E20" s="4"/>
      <c r="F20" s="4"/>
      <c r="G20" s="4"/>
      <c r="H20" s="4"/>
    </row>
    <row r="21" spans="2:8" x14ac:dyDescent="0.4">
      <c r="B21" s="3">
        <v>14</v>
      </c>
      <c r="C21" s="3" cm="1">
        <f t="array" ref="C21">IF($B21&gt;$C$4,C20+1,ROUND(_xlfn.IFS($B21&lt;=$G$3,($C20+$F$4)*$F$5,$B21&lt;=$H$3,($C20+$G$4)*$G$5,$B21&lt;=$I$3,($C20+$H$4)*$H$5,$B21&gt;$I$3,($C20+$I$4)*$I$5),0))</f>
        <v>3188</v>
      </c>
      <c r="D21" s="4"/>
      <c r="E21" s="4"/>
      <c r="F21" s="4"/>
      <c r="G21" s="4"/>
      <c r="H21" s="4"/>
    </row>
    <row r="22" spans="2:8" x14ac:dyDescent="0.4">
      <c r="B22" s="3">
        <v>15</v>
      </c>
      <c r="C22" s="3" cm="1">
        <f t="array" ref="C22">IF($B22&gt;$C$4,C21+1,ROUND(_xlfn.IFS($B22&lt;=$G$3,($C21+$F$4)*$F$5,$B22&lt;=$H$3,($C21+$G$4)*$G$5,$B22&lt;=$I$3,($C21+$H$4)*$H$5,$B22&gt;$I$3,($C21+$I$4)*$I$5),0))</f>
        <v>3405</v>
      </c>
      <c r="D22" s="4"/>
      <c r="E22" s="4"/>
      <c r="F22" s="4"/>
      <c r="G22" s="4"/>
      <c r="H22" s="4"/>
    </row>
    <row r="23" spans="2:8" x14ac:dyDescent="0.4">
      <c r="B23" s="3">
        <v>16</v>
      </c>
      <c r="C23" s="3" cm="1">
        <f t="array" ref="C23">IF($B23&gt;$C$4,C22+1,ROUND(_xlfn.IFS($B23&lt;=$G$3,($C22+$F$4)*$F$5,$B23&lt;=$H$3,($C22+$G$4)*$G$5,$B23&lt;=$I$3,($C22+$H$4)*$H$5,$B23&gt;$I$3,($C22+$I$4)*$I$5),0))</f>
        <v>3626</v>
      </c>
      <c r="D23" s="4"/>
      <c r="E23" s="4"/>
      <c r="F23" s="4"/>
      <c r="G23" s="4"/>
      <c r="H23" s="4"/>
    </row>
    <row r="24" spans="2:8" x14ac:dyDescent="0.4">
      <c r="B24" s="3">
        <v>17</v>
      </c>
      <c r="C24" s="3" cm="1">
        <f t="array" ref="C24">IF($B24&gt;$C$4,C23+1,ROUND(_xlfn.IFS($B24&lt;=$G$3,($C23+$F$4)*$F$5,$B24&lt;=$H$3,($C23+$G$4)*$G$5,$B24&lt;=$I$3,($C23+$H$4)*$H$5,$B24&gt;$I$3,($C23+$I$4)*$I$5),0))</f>
        <v>3852</v>
      </c>
      <c r="D24" s="4"/>
      <c r="E24" s="4"/>
      <c r="F24" s="4"/>
      <c r="G24" s="4"/>
      <c r="H24" s="4"/>
    </row>
    <row r="25" spans="2:8" x14ac:dyDescent="0.4">
      <c r="B25" s="3">
        <v>18</v>
      </c>
      <c r="C25" s="3" cm="1">
        <f t="array" ref="C25">IF($B25&gt;$C$4,C24+1,ROUND(_xlfn.IFS($B25&lt;=$G$3,($C24+$F$4)*$F$5,$B25&lt;=$H$3,($C24+$G$4)*$G$5,$B25&lt;=$I$3,($C24+$H$4)*$H$5,$B25&gt;$I$3,($C24+$I$4)*$I$5),0))</f>
        <v>4082</v>
      </c>
      <c r="D25" s="4"/>
      <c r="E25" s="4"/>
      <c r="F25" s="4"/>
      <c r="G25" s="4"/>
      <c r="H25" s="4"/>
    </row>
    <row r="26" spans="2:8" x14ac:dyDescent="0.4">
      <c r="B26" s="3">
        <v>19</v>
      </c>
      <c r="C26" s="3" cm="1">
        <f t="array" ref="C26">IF($B26&gt;$C$4,C25+1,ROUND(_xlfn.IFS($B26&lt;=$G$3,($C25+$F$4)*$F$5,$B26&lt;=$H$3,($C25+$G$4)*$G$5,$B26&lt;=$I$3,($C25+$H$4)*$H$5,$B26&gt;$I$3,($C25+$I$4)*$I$5),0))</f>
        <v>4317</v>
      </c>
      <c r="D26" s="4"/>
      <c r="E26" s="4"/>
      <c r="F26" s="4"/>
      <c r="G26" s="4"/>
      <c r="H26" s="4"/>
    </row>
    <row r="27" spans="2:8" x14ac:dyDescent="0.4">
      <c r="B27" s="3">
        <v>20</v>
      </c>
      <c r="C27" s="3" cm="1">
        <f t="array" ref="C27">IF($B27&gt;$C$4,C26+1,ROUND(_xlfn.IFS($B27&lt;=$G$3,($C26+$F$4)*$F$5,$B27&lt;=$H$3,($C26+$G$4)*$G$5,$B27&lt;=$I$3,($C26+$H$4)*$H$5,$B27&gt;$I$3,($C26+$I$4)*$I$5),0))</f>
        <v>4556</v>
      </c>
      <c r="D27" s="4"/>
      <c r="E27" s="4"/>
      <c r="F27" s="4"/>
      <c r="G27" s="4"/>
      <c r="H27" s="4"/>
    </row>
    <row r="28" spans="2:8" x14ac:dyDescent="0.4">
      <c r="B28" s="3">
        <v>21</v>
      </c>
      <c r="C28" s="3" cm="1">
        <f t="array" ref="C28">IF($B28&gt;$C$4,C27+1,ROUND(_xlfn.IFS($B28&lt;=$G$3,($C27+$F$4)*$F$5,$B28&lt;=$H$3,($C27+$G$4)*$G$5,$B28&lt;=$I$3,($C27+$H$4)*$H$5,$B28&gt;$I$3,($C27+$I$4)*$I$5),0))</f>
        <v>4878</v>
      </c>
      <c r="D28" s="4"/>
      <c r="E28" s="4"/>
      <c r="F28" s="4"/>
      <c r="G28" s="4"/>
      <c r="H28" s="4"/>
    </row>
    <row r="29" spans="2:8" x14ac:dyDescent="0.4">
      <c r="B29" s="3">
        <v>22</v>
      </c>
      <c r="C29" s="3" cm="1">
        <f t="array" ref="C29">IF($B29&gt;$C$4,C28+1,ROUND(_xlfn.IFS($B29&lt;=$G$3,($C28+$F$4)*$F$5,$B29&lt;=$H$3,($C28+$G$4)*$G$5,$B29&lt;=$I$3,($C28+$H$4)*$H$5,$B29&gt;$I$3,($C28+$I$4)*$I$5),0))</f>
        <v>5210</v>
      </c>
      <c r="D29" s="4"/>
      <c r="E29" s="4"/>
      <c r="F29" s="4"/>
      <c r="G29" s="4"/>
      <c r="H29" s="4"/>
    </row>
    <row r="30" spans="2:8" x14ac:dyDescent="0.4">
      <c r="B30" s="3">
        <v>23</v>
      </c>
      <c r="C30" s="3" cm="1">
        <f t="array" ref="C30">IF($B30&gt;$C$4,C29+1,ROUND(_xlfn.IFS($B30&lt;=$G$3,($C29+$F$4)*$F$5,$B30&lt;=$H$3,($C29+$G$4)*$G$5,$B30&lt;=$I$3,($C29+$H$4)*$H$5,$B30&gt;$I$3,($C29+$I$4)*$I$5),0))</f>
        <v>5552</v>
      </c>
      <c r="D30" s="4"/>
      <c r="E30" s="4"/>
      <c r="F30" s="4"/>
      <c r="G30" s="4"/>
      <c r="H30" s="4"/>
    </row>
    <row r="31" spans="2:8" x14ac:dyDescent="0.4">
      <c r="B31" s="3">
        <v>24</v>
      </c>
      <c r="C31" s="3" cm="1">
        <f t="array" ref="C31">IF($B31&gt;$C$4,C30+1,ROUND(_xlfn.IFS($B31&lt;=$G$3,($C30+$F$4)*$F$5,$B31&lt;=$H$3,($C30+$G$4)*$G$5,$B31&lt;=$I$3,($C30+$H$4)*$H$5,$B31&gt;$I$3,($C30+$I$4)*$I$5),0))</f>
        <v>5904</v>
      </c>
      <c r="D31" s="4"/>
      <c r="E31" s="4"/>
      <c r="F31" s="4"/>
      <c r="G31" s="4"/>
      <c r="H31" s="4"/>
    </row>
    <row r="32" spans="2:8" x14ac:dyDescent="0.4">
      <c r="B32" s="3">
        <v>25</v>
      </c>
      <c r="C32" s="3" cm="1">
        <f t="array" ref="C32">IF($B32&gt;$C$4,C31+1,ROUND(_xlfn.IFS($B32&lt;=$G$3,($C31+$F$4)*$F$5,$B32&lt;=$H$3,($C31+$G$4)*$G$5,$B32&lt;=$I$3,($C31+$H$4)*$H$5,$B32&gt;$I$3,($C31+$I$4)*$I$5),0))</f>
        <v>6267</v>
      </c>
      <c r="D32" s="4"/>
      <c r="E32" s="4"/>
      <c r="F32" s="4"/>
      <c r="G32" s="4"/>
      <c r="H32" s="4"/>
    </row>
    <row r="33" spans="2:8" x14ac:dyDescent="0.4">
      <c r="B33" s="3">
        <v>26</v>
      </c>
      <c r="C33" s="3" cm="1">
        <f t="array" ref="C33">IF($B33&gt;$C$4,C32+1,ROUND(_xlfn.IFS($B33&lt;=$G$3,($C32+$F$4)*$F$5,$B33&lt;=$H$3,($C32+$G$4)*$G$5,$B33&lt;=$I$3,($C32+$H$4)*$H$5,$B33&gt;$I$3,($C32+$I$4)*$I$5),0))</f>
        <v>6843</v>
      </c>
      <c r="D33" s="4"/>
      <c r="E33" s="4"/>
      <c r="F33" s="4"/>
      <c r="G33" s="4"/>
      <c r="H33" s="4"/>
    </row>
    <row r="34" spans="2:8" x14ac:dyDescent="0.4">
      <c r="B34" s="3">
        <v>27</v>
      </c>
      <c r="C34" s="3" cm="1">
        <f t="array" ref="C34">IF($B34&gt;$C$4,C33+1,ROUND(_xlfn.IFS($B34&lt;=$G$3,($C33+$F$4)*$F$5,$B34&lt;=$H$3,($C33+$G$4)*$G$5,$B34&lt;=$I$3,($C33+$H$4)*$H$5,$B34&gt;$I$3,($C33+$I$4)*$I$5),0))</f>
        <v>7448</v>
      </c>
      <c r="D34" s="4"/>
      <c r="E34" s="4"/>
      <c r="F34" s="4"/>
      <c r="G34" s="4"/>
      <c r="H34" s="4"/>
    </row>
    <row r="35" spans="2:8" x14ac:dyDescent="0.4">
      <c r="B35" s="3">
        <v>28</v>
      </c>
      <c r="C35" s="3" cm="1">
        <f t="array" ref="C35">IF($B35&gt;$C$4,C34+1,ROUND(_xlfn.IFS($B35&lt;=$G$3,($C34+$F$4)*$F$5,$B35&lt;=$H$3,($C34+$G$4)*$G$5,$B35&lt;=$I$3,($C34+$H$4)*$H$5,$B35&gt;$I$3,($C34+$I$4)*$I$5),0))</f>
        <v>8083</v>
      </c>
      <c r="D35" s="4"/>
      <c r="E35" s="4"/>
      <c r="F35" s="4"/>
      <c r="G35" s="4"/>
      <c r="H35" s="4"/>
    </row>
    <row r="36" spans="2:8" x14ac:dyDescent="0.4">
      <c r="B36" s="3">
        <v>29</v>
      </c>
      <c r="C36" s="3" cm="1">
        <f t="array" ref="C36">IF($B36&gt;$C$4,C35+1,ROUND(_xlfn.IFS($B36&lt;=$G$3,($C35+$F$4)*$F$5,$B36&lt;=$H$3,($C35+$G$4)*$G$5,$B36&lt;=$I$3,($C35+$H$4)*$H$5,$B36&gt;$I$3,($C35+$I$4)*$I$5),0))</f>
        <v>8750</v>
      </c>
      <c r="D36" s="4"/>
      <c r="E36" s="4"/>
      <c r="F36" s="4"/>
      <c r="G36" s="4"/>
      <c r="H36" s="4"/>
    </row>
    <row r="37" spans="2:8" x14ac:dyDescent="0.4">
      <c r="B37" s="3">
        <v>30</v>
      </c>
      <c r="C37" s="3" cm="1">
        <f t="array" ref="C37">IF($B37&gt;$C$4,C36+1,ROUND(_xlfn.IFS($B37&lt;=$G$3,($C36+$F$4)*$F$5,$B37&lt;=$H$3,($C36+$G$4)*$G$5,$B37&lt;=$I$3,($C36+$H$4)*$H$5,$B37&gt;$I$3,($C36+$I$4)*$I$5),0))</f>
        <v>9450</v>
      </c>
      <c r="D37" s="4"/>
      <c r="E37" s="4"/>
      <c r="F37" s="4"/>
      <c r="G37" s="4"/>
      <c r="H37" s="4"/>
    </row>
    <row r="38" spans="2:8" x14ac:dyDescent="0.4">
      <c r="B38" s="5">
        <v>31</v>
      </c>
      <c r="C38" s="3" cm="1">
        <f t="array" ref="C38">IF($B38&gt;$C$4,C37+1,ROUND(_xlfn.IFS($B38&lt;=$G$3,($C37+$F$4)*$F$5,$B38&lt;=$H$3,($C37+$G$4)*$G$5,$B38&lt;=$I$3,($C37+$H$4)*$H$5,$B38&gt;$I$3,($C37+$I$4)*$I$5),0))</f>
        <v>10185</v>
      </c>
      <c r="D38" s="4"/>
      <c r="E38" s="4"/>
      <c r="F38" s="4"/>
      <c r="G38" s="4"/>
      <c r="H38" s="4"/>
    </row>
    <row r="39" spans="2:8" x14ac:dyDescent="0.4">
      <c r="B39" s="3">
        <v>32</v>
      </c>
      <c r="C39" s="3" cm="1">
        <f t="array" ref="C39">IF($B39&gt;$C$4,C38+1,ROUND(_xlfn.IFS($B39&lt;=$G$3,($C38+$F$4)*$F$5,$B39&lt;=$H$3,($C38+$G$4)*$G$5,$B39&lt;=$I$3,($C38+$H$4)*$H$5,$B39&gt;$I$3,($C38+$I$4)*$I$5),0))</f>
        <v>10957</v>
      </c>
      <c r="D39" s="4"/>
      <c r="E39" s="4"/>
      <c r="F39" s="4"/>
      <c r="G39" s="4"/>
      <c r="H39" s="4"/>
    </row>
    <row r="40" spans="2:8" x14ac:dyDescent="0.4">
      <c r="B40" s="3">
        <v>33</v>
      </c>
      <c r="C40" s="3" cm="1">
        <f t="array" ref="C40">IF($B40&gt;$C$4,C39+1,ROUND(_xlfn.IFS($B40&lt;=$G$3,($C39+$F$4)*$F$5,$B40&lt;=$H$3,($C39+$G$4)*$G$5,$B40&lt;=$I$3,($C39+$H$4)*$H$5,$B40&gt;$I$3,($C39+$I$4)*$I$5),0))</f>
        <v>11767</v>
      </c>
      <c r="D40" s="4"/>
      <c r="E40" s="4"/>
      <c r="F40" s="4"/>
      <c r="G40" s="4"/>
      <c r="H40" s="4"/>
    </row>
    <row r="41" spans="2:8" x14ac:dyDescent="0.4">
      <c r="B41" s="3">
        <v>34</v>
      </c>
      <c r="C41" s="3" cm="1">
        <f t="array" ref="C41">IF($B41&gt;$C$4,C40+1,ROUND(_xlfn.IFS($B41&lt;=$G$3,($C40+$F$4)*$F$5,$B41&lt;=$H$3,($C40+$G$4)*$G$5,$B41&lt;=$I$3,($C40+$H$4)*$H$5,$B41&gt;$I$3,($C40+$I$4)*$I$5),0))</f>
        <v>12618</v>
      </c>
      <c r="D41" s="4"/>
      <c r="E41" s="4"/>
      <c r="F41" s="4"/>
      <c r="G41" s="4"/>
      <c r="H41" s="4"/>
    </row>
    <row r="42" spans="2:8" x14ac:dyDescent="0.4">
      <c r="B42" s="3">
        <v>35</v>
      </c>
      <c r="C42" s="3" cm="1">
        <f t="array" ref="C42">IF($B42&gt;$C$4,C41+1,ROUND(_xlfn.IFS($B42&lt;=$G$3,($C41+$F$4)*$F$5,$B42&lt;=$H$3,($C41+$G$4)*$G$5,$B42&lt;=$I$3,($C41+$H$4)*$H$5,$B42&gt;$I$3,($C41+$I$4)*$I$5),0))</f>
        <v>13511</v>
      </c>
      <c r="D42" s="4"/>
      <c r="E42" s="4"/>
      <c r="F42" s="4"/>
      <c r="G42" s="4"/>
      <c r="H42" s="4"/>
    </row>
    <row r="43" spans="2:8" x14ac:dyDescent="0.4">
      <c r="B43" s="3">
        <v>36</v>
      </c>
      <c r="C43" s="3" cm="1">
        <f t="array" ref="C43">IF($B43&gt;$C$4,C42+1,ROUND(_xlfn.IFS($B43&lt;=$G$3,($C42+$F$4)*$F$5,$B43&lt;=$H$3,($C42+$G$4)*$G$5,$B43&lt;=$I$3,($C42+$H$4)*$H$5,$B43&gt;$I$3,($C42+$I$4)*$I$5),0))</f>
        <v>14449</v>
      </c>
      <c r="D43" s="4"/>
      <c r="E43" s="4"/>
      <c r="F43" s="4"/>
      <c r="G43" s="4"/>
      <c r="H43" s="4"/>
    </row>
    <row r="44" spans="2:8" x14ac:dyDescent="0.4">
      <c r="B44" s="3">
        <v>37</v>
      </c>
      <c r="C44" s="3" cm="1">
        <f t="array" ref="C44">IF($B44&gt;$C$4,C43+1,ROUND(_xlfn.IFS($B44&lt;=$G$3,($C43+$F$4)*$F$5,$B44&lt;=$H$3,($C43+$G$4)*$G$5,$B44&lt;=$I$3,($C43+$H$4)*$H$5,$B44&gt;$I$3,($C43+$I$4)*$I$5),0))</f>
        <v>15434</v>
      </c>
      <c r="D44" s="4"/>
      <c r="E44" s="4"/>
      <c r="F44" s="4"/>
      <c r="G44" s="4"/>
      <c r="H44" s="4"/>
    </row>
    <row r="45" spans="2:8" x14ac:dyDescent="0.4">
      <c r="B45" s="3">
        <v>38</v>
      </c>
      <c r="C45" s="3" cm="1">
        <f t="array" ref="C45">IF($B45&gt;$C$4,C44+1,ROUND(_xlfn.IFS($B45&lt;=$G$3,($C44+$F$4)*$F$5,$B45&lt;=$H$3,($C44+$G$4)*$G$5,$B45&lt;=$I$3,($C44+$H$4)*$H$5,$B45&gt;$I$3,($C44+$I$4)*$I$5),0))</f>
        <v>16468</v>
      </c>
      <c r="D45" s="4"/>
      <c r="E45" s="4"/>
      <c r="F45" s="4"/>
      <c r="G45" s="4"/>
      <c r="H45" s="4"/>
    </row>
    <row r="46" spans="2:8" x14ac:dyDescent="0.4">
      <c r="B46" s="3">
        <v>39</v>
      </c>
      <c r="C46" s="3" cm="1">
        <f t="array" ref="C46">IF($B46&gt;$C$4,C45+1,ROUND(_xlfn.IFS($B46&lt;=$G$3,($C45+$F$4)*$F$5,$B46&lt;=$H$3,($C45+$G$4)*$G$5,$B46&lt;=$I$3,($C45+$H$4)*$H$5,$B46&gt;$I$3,($C45+$I$4)*$I$5),0))</f>
        <v>17554</v>
      </c>
      <c r="D46" s="4"/>
      <c r="E46" s="4"/>
      <c r="F46" s="4"/>
      <c r="G46" s="4"/>
      <c r="H46" s="4"/>
    </row>
    <row r="47" spans="2:8" x14ac:dyDescent="0.4">
      <c r="B47" s="3">
        <v>40</v>
      </c>
      <c r="C47" s="3" cm="1">
        <f t="array" ref="C47">IF($B47&gt;$C$4,C46+1,ROUND(_xlfn.IFS($B47&lt;=$G$3,($C46+$F$4)*$F$5,$B47&lt;=$H$3,($C46+$G$4)*$G$5,$B47&lt;=$I$3,($C46+$H$4)*$H$5,$B47&gt;$I$3,($C46+$I$4)*$I$5),0))</f>
        <v>18694</v>
      </c>
      <c r="D47" s="4"/>
      <c r="E47" s="4"/>
      <c r="F47" s="4"/>
      <c r="G47" s="4"/>
      <c r="H47" s="4"/>
    </row>
    <row r="48" spans="2:8" x14ac:dyDescent="0.4">
      <c r="B48" s="3">
        <v>41</v>
      </c>
      <c r="C48" s="3" cm="1">
        <f t="array" ref="C48">IF($B48&gt;$C$4,C47+1,ROUND(_xlfn.IFS($B48&lt;=$G$3,($C47+$F$4)*$F$5,$B48&lt;=$H$3,($C47+$G$4)*$G$5,$B48&lt;=$I$3,($C47+$H$4)*$H$5,$B48&gt;$I$3,($C47+$I$4)*$I$5),0))</f>
        <v>19891</v>
      </c>
      <c r="D48" s="4"/>
      <c r="E48" s="4"/>
      <c r="F48" s="4"/>
      <c r="G48" s="4"/>
      <c r="H48" s="4"/>
    </row>
    <row r="49" spans="2:8" x14ac:dyDescent="0.4">
      <c r="B49" s="3">
        <v>42</v>
      </c>
      <c r="C49" s="3" cm="1">
        <f t="array" ref="C49">IF($B49&gt;$C$4,C48+1,ROUND(_xlfn.IFS($B49&lt;=$G$3,($C48+$F$4)*$F$5,$B49&lt;=$H$3,($C48+$G$4)*$G$5,$B49&lt;=$I$3,($C48+$H$4)*$H$5,$B49&gt;$I$3,($C48+$I$4)*$I$5),0))</f>
        <v>21148</v>
      </c>
      <c r="D49" s="4"/>
      <c r="E49" s="4"/>
      <c r="F49" s="4"/>
      <c r="G49" s="4"/>
      <c r="H49" s="4"/>
    </row>
    <row r="50" spans="2:8" x14ac:dyDescent="0.4">
      <c r="B50" s="3">
        <v>43</v>
      </c>
      <c r="C50" s="3" cm="1">
        <f t="array" ref="C50">IF($B50&gt;$C$4,C49+1,ROUND(_xlfn.IFS($B50&lt;=$G$3,($C49+$F$4)*$F$5,$B50&lt;=$H$3,($C49+$G$4)*$G$5,$B50&lt;=$I$3,($C49+$H$4)*$H$5,$B50&gt;$I$3,($C49+$I$4)*$I$5),0))</f>
        <v>22468</v>
      </c>
      <c r="D50" s="4"/>
      <c r="E50" s="4"/>
      <c r="F50" s="4"/>
      <c r="G50" s="4"/>
      <c r="H50" s="4"/>
    </row>
    <row r="51" spans="2:8" x14ac:dyDescent="0.4">
      <c r="B51" s="3">
        <v>44</v>
      </c>
      <c r="C51" s="3" cm="1">
        <f t="array" ref="C51">IF($B51&gt;$C$4,C50+1,ROUND(_xlfn.IFS($B51&lt;=$G$3,($C50+$F$4)*$F$5,$B51&lt;=$H$3,($C50+$G$4)*$G$5,$B51&lt;=$I$3,($C50+$H$4)*$H$5,$B51&gt;$I$3,($C50+$I$4)*$I$5),0))</f>
        <v>23854</v>
      </c>
      <c r="D51" s="4"/>
      <c r="E51" s="4"/>
      <c r="F51" s="4"/>
      <c r="G51" s="4"/>
      <c r="H51" s="4"/>
    </row>
    <row r="52" spans="2:8" x14ac:dyDescent="0.4">
      <c r="B52" s="3">
        <v>45</v>
      </c>
      <c r="C52" s="3" cm="1">
        <f t="array" ref="C52">IF($B52&gt;$C$4,C51+1,ROUND(_xlfn.IFS($B52&lt;=$G$3,($C51+$F$4)*$F$5,$B52&lt;=$H$3,($C51+$G$4)*$G$5,$B52&lt;=$I$3,($C51+$H$4)*$H$5,$B52&gt;$I$3,($C51+$I$4)*$I$5),0))</f>
        <v>25309</v>
      </c>
      <c r="D52" s="4"/>
      <c r="E52" s="4"/>
      <c r="F52" s="4"/>
      <c r="G52" s="4"/>
      <c r="H52" s="4"/>
    </row>
    <row r="53" spans="2:8" x14ac:dyDescent="0.4">
      <c r="B53" s="3">
        <v>46</v>
      </c>
      <c r="C53" s="3" cm="1">
        <f t="array" ref="C53">IF($B53&gt;$C$4,C52+1,ROUND(_xlfn.IFS($B53&lt;=$G$3,($C52+$F$4)*$F$5,$B53&lt;=$H$3,($C52+$G$4)*$G$5,$B53&lt;=$I$3,($C52+$H$4)*$H$5,$B53&gt;$I$3,($C52+$I$4)*$I$5),0))</f>
        <v>26837</v>
      </c>
      <c r="D53" s="4"/>
      <c r="E53" s="4"/>
      <c r="F53" s="4"/>
      <c r="G53" s="4"/>
      <c r="H53" s="4"/>
    </row>
    <row r="54" spans="2:8" x14ac:dyDescent="0.4">
      <c r="B54" s="3">
        <v>47</v>
      </c>
      <c r="C54" s="3" cm="1">
        <f t="array" ref="C54">IF($B54&gt;$C$4,C53+1,ROUND(_xlfn.IFS($B54&lt;=$G$3,($C53+$F$4)*$F$5,$B54&lt;=$H$3,($C53+$G$4)*$G$5,$B54&lt;=$I$3,($C53+$H$4)*$H$5,$B54&gt;$I$3,($C53+$I$4)*$I$5),0))</f>
        <v>28441</v>
      </c>
      <c r="D54" s="4"/>
      <c r="E54" s="4"/>
      <c r="F54" s="4"/>
      <c r="G54" s="4"/>
      <c r="H54" s="4"/>
    </row>
    <row r="55" spans="2:8" x14ac:dyDescent="0.4">
      <c r="B55" s="3">
        <v>48</v>
      </c>
      <c r="C55" s="3" cm="1">
        <f t="array" ref="C55">IF($B55&gt;$C$4,C54+1,ROUND(_xlfn.IFS($B55&lt;=$G$3,($C54+$F$4)*$F$5,$B55&lt;=$H$3,($C54+$G$4)*$G$5,$B55&lt;=$I$3,($C54+$H$4)*$H$5,$B55&gt;$I$3,($C54+$I$4)*$I$5),0))</f>
        <v>30126</v>
      </c>
      <c r="D55" s="4"/>
      <c r="E55" s="4"/>
      <c r="F55" s="4"/>
      <c r="G55" s="4"/>
      <c r="H55" s="4"/>
    </row>
    <row r="56" spans="2:8" x14ac:dyDescent="0.4">
      <c r="B56" s="3">
        <v>49</v>
      </c>
      <c r="C56" s="3" cm="1">
        <f t="array" ref="C56">IF($B56&gt;$C$4,C55+1,ROUND(_xlfn.IFS($B56&lt;=$G$3,($C55+$F$4)*$F$5,$B56&lt;=$H$3,($C55+$G$4)*$G$5,$B56&lt;=$I$3,($C55+$H$4)*$H$5,$B56&gt;$I$3,($C55+$I$4)*$I$5),0))</f>
        <v>31895</v>
      </c>
      <c r="D56" s="4"/>
      <c r="E56" s="4"/>
      <c r="F56" s="4"/>
      <c r="G56" s="4"/>
      <c r="H56" s="4"/>
    </row>
    <row r="57" spans="2:8" x14ac:dyDescent="0.4">
      <c r="B57" s="3">
        <v>50</v>
      </c>
      <c r="C57" s="3" cm="1">
        <f t="array" ref="C57">IF($B57&gt;$C$4,C56+1,ROUND(_xlfn.IFS($B57&lt;=$G$3,($C56+$F$4)*$F$5,$B57&lt;=$H$3,($C56+$G$4)*$G$5,$B57&lt;=$I$3,($C56+$H$4)*$H$5,$B57&gt;$I$3,($C56+$I$4)*$I$5),0))</f>
        <v>33752</v>
      </c>
      <c r="D57" s="4"/>
      <c r="E57" s="4"/>
      <c r="F57" s="4"/>
      <c r="G57" s="4"/>
      <c r="H57" s="4"/>
    </row>
    <row r="58" spans="2:8" x14ac:dyDescent="0.4">
      <c r="B58" s="3">
        <v>51</v>
      </c>
      <c r="C58" s="3" cm="1">
        <f t="array" ref="C58">IF($B58&gt;$C$4,C57+1,ROUND(_xlfn.IFS($B58&lt;=$G$3,($C57+$F$4)*$F$5,$B58&lt;=$H$3,($C57+$G$4)*$G$5,$B58&lt;=$I$3,($C57+$H$4)*$H$5,$B58&gt;$I$3,($C57+$I$4)*$I$5),0))</f>
        <v>35702</v>
      </c>
      <c r="D58" s="4"/>
      <c r="E58" s="4"/>
      <c r="F58" s="4"/>
      <c r="G58" s="4"/>
      <c r="H58" s="4"/>
    </row>
    <row r="59" spans="2:8" x14ac:dyDescent="0.4">
      <c r="B59" s="3">
        <v>52</v>
      </c>
      <c r="C59" s="3" cm="1">
        <f t="array" ref="C59">IF($B59&gt;$C$4,C58+1,ROUND(_xlfn.IFS($B59&lt;=$G$3,($C58+$F$4)*$F$5,$B59&lt;=$H$3,($C58+$G$4)*$G$5,$B59&lt;=$I$3,($C58+$H$4)*$H$5,$B59&gt;$I$3,($C58+$I$4)*$I$5),0))</f>
        <v>37750</v>
      </c>
      <c r="D59" s="4"/>
      <c r="E59" s="4"/>
      <c r="F59" s="4"/>
      <c r="G59" s="4"/>
      <c r="H59" s="4"/>
    </row>
    <row r="60" spans="2:8" x14ac:dyDescent="0.4">
      <c r="B60" s="3">
        <v>53</v>
      </c>
      <c r="C60" s="3" cm="1">
        <f t="array" ref="C60">IF($B60&gt;$C$4,C59+1,ROUND(_xlfn.IFS($B60&lt;=$G$3,($C59+$F$4)*$F$5,$B60&lt;=$H$3,($C59+$G$4)*$G$5,$B60&lt;=$I$3,($C59+$H$4)*$H$5,$B60&gt;$I$3,($C59+$I$4)*$I$5),0))</f>
        <v>39900</v>
      </c>
      <c r="D60" s="4"/>
      <c r="E60" s="4"/>
      <c r="F60" s="4"/>
      <c r="G60" s="4"/>
      <c r="H60" s="4"/>
    </row>
    <row r="61" spans="2:8" x14ac:dyDescent="0.4">
      <c r="B61" s="3">
        <v>54</v>
      </c>
      <c r="C61" s="3" cm="1">
        <f t="array" ref="C61">IF($B61&gt;$C$4,C60+1,ROUND(_xlfn.IFS($B61&lt;=$G$3,($C60+$F$4)*$F$5,$B61&lt;=$H$3,($C60+$G$4)*$G$5,$B61&lt;=$I$3,($C60+$H$4)*$H$5,$B61&gt;$I$3,($C60+$I$4)*$I$5),0))</f>
        <v>42158</v>
      </c>
      <c r="D61" s="4"/>
      <c r="E61" s="4"/>
      <c r="F61" s="4"/>
      <c r="G61" s="4"/>
      <c r="H61" s="4"/>
    </row>
    <row r="62" spans="2:8" x14ac:dyDescent="0.4">
      <c r="B62" s="3">
        <v>55</v>
      </c>
      <c r="C62" s="3" cm="1">
        <f t="array" ref="C62">IF($B62&gt;$C$4,C61+1,ROUND(_xlfn.IFS($B62&lt;=$G$3,($C61+$F$4)*$F$5,$B62&lt;=$H$3,($C61+$G$4)*$G$5,$B62&lt;=$I$3,($C61+$H$4)*$H$5,$B62&gt;$I$3,($C61+$I$4)*$I$5),0))</f>
        <v>44528</v>
      </c>
      <c r="D62" s="4"/>
      <c r="E62" s="4"/>
      <c r="F62" s="4"/>
      <c r="G62" s="4"/>
      <c r="H62" s="4"/>
    </row>
    <row r="63" spans="2:8" x14ac:dyDescent="0.4">
      <c r="B63" s="3">
        <v>56</v>
      </c>
      <c r="C63" s="3" cm="1">
        <f t="array" ref="C63">IF($B63&gt;$C$4,C62+1,ROUND(_xlfn.IFS($B63&lt;=$G$3,($C62+$F$4)*$F$5,$B63&lt;=$H$3,($C62+$G$4)*$G$5,$B63&lt;=$I$3,($C62+$H$4)*$H$5,$B63&gt;$I$3,($C62+$I$4)*$I$5),0))</f>
        <v>47017</v>
      </c>
      <c r="D63" s="4"/>
      <c r="E63" s="4"/>
      <c r="F63" s="4"/>
      <c r="G63" s="4"/>
      <c r="H63" s="4"/>
    </row>
    <row r="64" spans="2:8" x14ac:dyDescent="0.4">
      <c r="B64" s="3">
        <v>57</v>
      </c>
      <c r="C64" s="3" cm="1">
        <f t="array" ref="C64">IF($B64&gt;$C$4,C63+1,ROUND(_xlfn.IFS($B64&lt;=$G$3,($C63+$F$4)*$F$5,$B64&lt;=$H$3,($C63+$G$4)*$G$5,$B64&lt;=$I$3,($C63+$H$4)*$H$5,$B64&gt;$I$3,($C63+$I$4)*$I$5),0))</f>
        <v>49630</v>
      </c>
      <c r="D64" s="4"/>
      <c r="E64" s="4"/>
      <c r="F64" s="4"/>
      <c r="G64" s="4"/>
      <c r="H64" s="4"/>
    </row>
    <row r="65" spans="2:8" x14ac:dyDescent="0.4">
      <c r="B65" s="3">
        <v>58</v>
      </c>
      <c r="C65" s="3" cm="1">
        <f t="array" ref="C65">IF($B65&gt;$C$4,C64+1,ROUND(_xlfn.IFS($B65&lt;=$G$3,($C64+$F$4)*$F$5,$B65&lt;=$H$3,($C64+$G$4)*$G$5,$B65&lt;=$I$3,($C64+$H$4)*$H$5,$B65&gt;$I$3,($C64+$I$4)*$I$5),0))</f>
        <v>52374</v>
      </c>
      <c r="D65" s="4"/>
      <c r="E65" s="4"/>
      <c r="F65" s="4"/>
      <c r="G65" s="4"/>
      <c r="H65" s="4"/>
    </row>
    <row r="66" spans="2:8" x14ac:dyDescent="0.4">
      <c r="B66" s="3">
        <v>59</v>
      </c>
      <c r="C66" s="3" cm="1">
        <f t="array" ref="C66">IF($B66&gt;$C$4,C65+1,ROUND(_xlfn.IFS($B66&lt;=$G$3,($C65+$F$4)*$F$5,$B66&lt;=$H$3,($C65+$G$4)*$G$5,$B66&lt;=$I$3,($C65+$H$4)*$H$5,$B66&gt;$I$3,($C65+$I$4)*$I$5),0))</f>
        <v>55255</v>
      </c>
      <c r="D66" s="4"/>
      <c r="E66" s="4"/>
      <c r="F66" s="4"/>
      <c r="G66" s="4"/>
      <c r="H66" s="4"/>
    </row>
    <row r="67" spans="2:8" x14ac:dyDescent="0.4">
      <c r="B67" s="3">
        <v>60</v>
      </c>
      <c r="C67" s="3" cm="1">
        <f t="array" ref="C67">IF($B67&gt;$C$4,C66+1,ROUND(_xlfn.IFS($B67&lt;=$G$3,($C66+$F$4)*$F$5,$B67&lt;=$H$3,($C66+$G$4)*$G$5,$B67&lt;=$I$3,($C66+$H$4)*$H$5,$B67&gt;$I$3,($C66+$I$4)*$I$5),0))</f>
        <v>58280</v>
      </c>
      <c r="D67" s="4"/>
      <c r="E67" s="4"/>
      <c r="F67" s="4"/>
      <c r="G67" s="4"/>
      <c r="H67" s="4"/>
    </row>
    <row r="68" spans="2:8" x14ac:dyDescent="0.4">
      <c r="B68" s="3">
        <v>61</v>
      </c>
      <c r="C68" s="3" cm="1">
        <f t="array" ref="C68">IF($B68&gt;$C$4,C67+1,ROUND(_xlfn.IFS($B68&lt;=$G$3,($C67+$F$4)*$F$5,$B68&lt;=$H$3,($C67+$G$4)*$G$5,$B68&lt;=$I$3,($C67+$H$4)*$H$5,$B68&gt;$I$3,($C67+$I$4)*$I$5),0))</f>
        <v>61457</v>
      </c>
      <c r="D68" s="4"/>
      <c r="E68" s="4"/>
      <c r="F68" s="4"/>
      <c r="G68" s="4"/>
      <c r="H68" s="4"/>
    </row>
    <row r="69" spans="2:8" x14ac:dyDescent="0.4">
      <c r="B69" s="3">
        <v>62</v>
      </c>
      <c r="C69" s="3" cm="1">
        <f t="array" ref="C69">IF($B69&gt;$C$4,C68+1,ROUND(_xlfn.IFS($B69&lt;=$G$3,($C68+$F$4)*$F$5,$B69&lt;=$H$3,($C68+$G$4)*$G$5,$B69&lt;=$I$3,($C68+$H$4)*$H$5,$B69&gt;$I$3,($C68+$I$4)*$I$5),0))</f>
        <v>64792</v>
      </c>
      <c r="D69" s="4"/>
      <c r="E69" s="4"/>
      <c r="F69" s="4"/>
      <c r="G69" s="4"/>
      <c r="H69" s="4"/>
    </row>
    <row r="70" spans="2:8" x14ac:dyDescent="0.4">
      <c r="B70" s="3">
        <v>63</v>
      </c>
      <c r="C70" s="3" cm="1">
        <f t="array" ref="C70">IF($B70&gt;$C$4,C69+1,ROUND(_xlfn.IFS($B70&lt;=$G$3,($C69+$F$4)*$F$5,$B70&lt;=$H$3,($C69+$G$4)*$G$5,$B70&lt;=$I$3,($C69+$H$4)*$H$5,$B70&gt;$I$3,($C69+$I$4)*$I$5),0))</f>
        <v>68294</v>
      </c>
      <c r="D70" s="4"/>
      <c r="E70" s="4"/>
      <c r="F70" s="4"/>
      <c r="G70" s="4"/>
      <c r="H70" s="4"/>
    </row>
    <row r="71" spans="2:8" x14ac:dyDescent="0.4">
      <c r="B71" s="3">
        <v>64</v>
      </c>
      <c r="C71" s="3" cm="1">
        <f t="array" ref="C71">IF($B71&gt;$C$4,C70+1,ROUND(_xlfn.IFS($B71&lt;=$G$3,($C70+$F$4)*$F$5,$B71&lt;=$H$3,($C70+$G$4)*$G$5,$B71&lt;=$I$3,($C70+$H$4)*$H$5,$B71&gt;$I$3,($C70+$I$4)*$I$5),0))</f>
        <v>71971</v>
      </c>
      <c r="D71" s="4"/>
      <c r="E71" s="4"/>
      <c r="F71" s="4"/>
      <c r="G71" s="4"/>
      <c r="H71" s="4"/>
    </row>
    <row r="72" spans="2:8" x14ac:dyDescent="0.4">
      <c r="B72" s="3">
        <v>65</v>
      </c>
      <c r="C72" s="3" cm="1">
        <f t="array" ref="C72">IF($B72&gt;$C$4,C71+1,ROUND(_xlfn.IFS($B72&lt;=$G$3,($C71+$F$4)*$F$5,$B72&lt;=$H$3,($C71+$G$4)*$G$5,$B72&lt;=$I$3,($C71+$H$4)*$H$5,$B72&gt;$I$3,($C71+$I$4)*$I$5),0))</f>
        <v>75832</v>
      </c>
      <c r="D72" s="4"/>
      <c r="E72" s="4"/>
      <c r="F72" s="4"/>
      <c r="G72" s="4"/>
      <c r="H72" s="4"/>
    </row>
    <row r="73" spans="2:8" x14ac:dyDescent="0.4">
      <c r="B73" s="3">
        <v>66</v>
      </c>
      <c r="C73" s="3" cm="1">
        <f t="array" ref="C73">IF($B73&gt;$C$4,C72+1,ROUND(_xlfn.IFS($B73&lt;=$G$3,($C72+$F$4)*$F$5,$B73&lt;=$H$3,($C72+$G$4)*$G$5,$B73&lt;=$I$3,($C72+$H$4)*$H$5,$B73&gt;$I$3,($C72+$I$4)*$I$5),0))</f>
        <v>79886</v>
      </c>
      <c r="D73" s="4"/>
      <c r="E73" s="4"/>
      <c r="F73" s="4"/>
      <c r="G73" s="4"/>
      <c r="H73" s="4"/>
    </row>
    <row r="74" spans="2:8" x14ac:dyDescent="0.4">
      <c r="B74" s="3">
        <v>67</v>
      </c>
      <c r="C74" s="3" cm="1">
        <f t="array" ref="C74">IF($B74&gt;$C$4,C73+1,ROUND(_xlfn.IFS($B74&lt;=$G$3,($C73+$F$4)*$F$5,$B74&lt;=$H$3,($C73+$G$4)*$G$5,$B74&lt;=$I$3,($C73+$H$4)*$H$5,$B74&gt;$I$3,($C73+$I$4)*$I$5),0))</f>
        <v>84143</v>
      </c>
      <c r="D74" s="4"/>
      <c r="E74" s="4"/>
      <c r="F74" s="4"/>
      <c r="G74" s="4"/>
      <c r="H74" s="4"/>
    </row>
    <row r="75" spans="2:8" x14ac:dyDescent="0.4">
      <c r="B75" s="3">
        <v>68</v>
      </c>
      <c r="C75" s="3" cm="1">
        <f t="array" ref="C75">IF($B75&gt;$C$4,C74+1,ROUND(_xlfn.IFS($B75&lt;=$G$3,($C74+$F$4)*$F$5,$B75&lt;=$H$3,($C74+$G$4)*$G$5,$B75&lt;=$I$3,($C74+$H$4)*$H$5,$B75&gt;$I$3,($C74+$I$4)*$I$5),0))</f>
        <v>88613</v>
      </c>
      <c r="D75" s="4"/>
      <c r="E75" s="4"/>
      <c r="F75" s="4"/>
      <c r="G75" s="4"/>
      <c r="H75" s="4"/>
    </row>
    <row r="76" spans="2:8" x14ac:dyDescent="0.4">
      <c r="B76" s="3">
        <v>69</v>
      </c>
      <c r="C76" s="3" cm="1">
        <f t="array" ref="C76">IF($B76&gt;$C$4,C75+1,ROUND(_xlfn.IFS($B76&lt;=$G$3,($C75+$F$4)*$F$5,$B76&lt;=$H$3,($C75+$G$4)*$G$5,$B76&lt;=$I$3,($C75+$H$4)*$H$5,$B76&gt;$I$3,($C75+$I$4)*$I$5),0))</f>
        <v>93306</v>
      </c>
      <c r="D76" s="4"/>
      <c r="E76" s="4"/>
      <c r="F76" s="4"/>
      <c r="G76" s="4"/>
      <c r="H76" s="4"/>
    </row>
    <row r="77" spans="2:8" x14ac:dyDescent="0.4">
      <c r="B77" s="3">
        <v>70</v>
      </c>
      <c r="C77" s="3" cm="1">
        <f t="array" ref="C77">IF($B77&gt;$C$4,C76+1,ROUND(_xlfn.IFS($B77&lt;=$G$3,($C76+$F$4)*$F$5,$B77&lt;=$H$3,($C76+$G$4)*$G$5,$B77&lt;=$I$3,($C76+$H$4)*$H$5,$B77&gt;$I$3,($C76+$I$4)*$I$5),0))</f>
        <v>98234</v>
      </c>
      <c r="D77" s="4"/>
      <c r="E77" s="4"/>
      <c r="F77" s="4"/>
      <c r="G77" s="4"/>
      <c r="H77" s="4"/>
    </row>
    <row r="78" spans="2:8" x14ac:dyDescent="0.4">
      <c r="B78" s="3">
        <v>71</v>
      </c>
      <c r="C78" s="3" cm="1">
        <f t="array" ref="C78">IF($B78&gt;$C$4,C77+1,ROUND(_xlfn.IFS($B78&lt;=$G$3,($C77+$F$4)*$F$5,$B78&lt;=$H$3,($C77+$G$4)*$G$5,$B78&lt;=$I$3,($C77+$H$4)*$H$5,$B78&gt;$I$3,($C77+$I$4)*$I$5),0))</f>
        <v>103408</v>
      </c>
      <c r="D78" s="4"/>
      <c r="E78" s="4"/>
      <c r="F78" s="4"/>
      <c r="G78" s="4"/>
      <c r="H78" s="4"/>
    </row>
    <row r="79" spans="2:8" x14ac:dyDescent="0.4">
      <c r="B79" s="3">
        <v>72</v>
      </c>
      <c r="C79" s="3" cm="1">
        <f t="array" ref="C79">IF($B79&gt;$C$4,C78+1,ROUND(_xlfn.IFS($B79&lt;=$G$3,($C78+$F$4)*$F$5,$B79&lt;=$H$3,($C78+$G$4)*$G$5,$B79&lt;=$I$3,($C78+$H$4)*$H$5,$B79&gt;$I$3,($C78+$I$4)*$I$5),0))</f>
        <v>108841</v>
      </c>
      <c r="D79" s="4"/>
      <c r="E79" s="4"/>
      <c r="F79" s="4"/>
      <c r="G79" s="4"/>
      <c r="H79" s="4"/>
    </row>
    <row r="80" spans="2:8" x14ac:dyDescent="0.4">
      <c r="B80" s="3">
        <v>73</v>
      </c>
      <c r="C80" s="3" cm="1">
        <f t="array" ref="C80">IF($B80&gt;$C$4,C79+1,ROUND(_xlfn.IFS($B80&lt;=$G$3,($C79+$F$4)*$F$5,$B80&lt;=$H$3,($C79+$G$4)*$G$5,$B80&lt;=$I$3,($C79+$H$4)*$H$5,$B80&gt;$I$3,($C79+$I$4)*$I$5),0))</f>
        <v>114546</v>
      </c>
      <c r="D80" s="4"/>
      <c r="E80" s="4"/>
      <c r="F80" s="4"/>
      <c r="G80" s="4"/>
      <c r="H80" s="4"/>
    </row>
    <row r="81" spans="2:8" x14ac:dyDescent="0.4">
      <c r="B81" s="3">
        <v>74</v>
      </c>
      <c r="C81" s="3" cm="1">
        <f t="array" ref="C81">IF($B81&gt;$C$4,C80+1,ROUND(_xlfn.IFS($B81&lt;=$G$3,($C80+$F$4)*$F$5,$B81&lt;=$H$3,($C80+$G$4)*$G$5,$B81&lt;=$I$3,($C80+$H$4)*$H$5,$B81&gt;$I$3,($C80+$I$4)*$I$5),0))</f>
        <v>120536</v>
      </c>
      <c r="D81" s="4"/>
      <c r="E81" s="4"/>
      <c r="F81" s="4"/>
      <c r="G81" s="4"/>
      <c r="H81" s="4"/>
    </row>
    <row r="82" spans="2:8" x14ac:dyDescent="0.4">
      <c r="B82" s="3">
        <v>75</v>
      </c>
      <c r="C82" s="3" cm="1">
        <f t="array" ref="C82">IF($B82&gt;$C$4,C81+1,ROUND(_xlfn.IFS($B82&lt;=$G$3,($C81+$F$4)*$F$5,$B82&lt;=$H$3,($C81+$G$4)*$G$5,$B82&lt;=$I$3,($C81+$H$4)*$H$5,$B82&gt;$I$3,($C81+$I$4)*$I$5),0))</f>
        <v>126825</v>
      </c>
      <c r="D82" s="4"/>
      <c r="E82" s="4"/>
      <c r="F82" s="4"/>
      <c r="G82" s="4"/>
      <c r="H82" s="4"/>
    </row>
    <row r="83" spans="2:8" x14ac:dyDescent="0.4">
      <c r="B83" s="3">
        <v>76</v>
      </c>
      <c r="C83" s="3" cm="1">
        <f t="array" ref="C83">IF($B83&gt;$C$4,C82+1,ROUND(_xlfn.IFS($B83&lt;=$G$3,($C82+$F$4)*$F$5,$B83&lt;=$H$3,($C82+$G$4)*$G$5,$B83&lt;=$I$3,($C82+$H$4)*$H$5,$B83&gt;$I$3,($C82+$I$4)*$I$5),0))</f>
        <v>133429</v>
      </c>
      <c r="D83" s="4"/>
      <c r="E83" s="4"/>
      <c r="F83" s="4"/>
      <c r="G83" s="4"/>
      <c r="H83" s="4"/>
    </row>
    <row r="84" spans="2:8" x14ac:dyDescent="0.4">
      <c r="B84" s="3">
        <v>77</v>
      </c>
      <c r="C84" s="3" cm="1">
        <f t="array" ref="C84">IF($B84&gt;$C$4,C83+1,ROUND(_xlfn.IFS($B84&lt;=$G$3,($C83+$F$4)*$F$5,$B84&lt;=$H$3,($C83+$G$4)*$G$5,$B84&lt;=$I$3,($C83+$H$4)*$H$5,$B84&gt;$I$3,($C83+$I$4)*$I$5),0))</f>
        <v>140363</v>
      </c>
      <c r="D84" s="4"/>
      <c r="E84" s="4"/>
      <c r="F84" s="4"/>
      <c r="G84" s="4"/>
      <c r="H84" s="4"/>
    </row>
    <row r="85" spans="2:8" x14ac:dyDescent="0.4">
      <c r="B85" s="3">
        <v>78</v>
      </c>
      <c r="C85" s="3" cm="1">
        <f t="array" ref="C85">IF($B85&gt;$C$4,C84+1,ROUND(_xlfn.IFS($B85&lt;=$G$3,($C84+$F$4)*$F$5,$B85&lt;=$H$3,($C84+$G$4)*$G$5,$B85&lt;=$I$3,($C84+$H$4)*$H$5,$B85&gt;$I$3,($C84+$I$4)*$I$5),0))</f>
        <v>147644</v>
      </c>
      <c r="D85" s="4"/>
      <c r="E85" s="4"/>
      <c r="F85" s="4"/>
      <c r="G85" s="4"/>
      <c r="H85" s="4"/>
    </row>
    <row r="86" spans="2:8" x14ac:dyDescent="0.4">
      <c r="B86" s="3">
        <v>79</v>
      </c>
      <c r="C86" s="3" cm="1">
        <f t="array" ref="C86">IF($B86&gt;$C$4,C85+1,ROUND(_xlfn.IFS($B86&lt;=$G$3,($C85+$F$4)*$F$5,$B86&lt;=$H$3,($C85+$G$4)*$G$5,$B86&lt;=$I$3,($C85+$H$4)*$H$5,$B86&gt;$I$3,($C85+$I$4)*$I$5),0))</f>
        <v>155289</v>
      </c>
      <c r="D86" s="4"/>
      <c r="E86" s="4"/>
      <c r="F86" s="4"/>
      <c r="G86" s="4"/>
      <c r="H86" s="4"/>
    </row>
    <row r="87" spans="2:8" x14ac:dyDescent="0.4">
      <c r="B87" s="3">
        <v>80</v>
      </c>
      <c r="C87" s="3" cm="1">
        <f t="array" ref="C87">IF($B87&gt;$C$4,C86+1,ROUND(_xlfn.IFS($B87&lt;=$G$3,($C86+$F$4)*$F$5,$B87&lt;=$H$3,($C86+$G$4)*$G$5,$B87&lt;=$I$3,($C86+$H$4)*$H$5,$B87&gt;$I$3,($C86+$I$4)*$I$5),0))</f>
        <v>163316</v>
      </c>
      <c r="D87" s="4"/>
      <c r="E87" s="4"/>
      <c r="F87" s="4"/>
      <c r="G87" s="4"/>
      <c r="H87" s="4"/>
    </row>
    <row r="88" spans="2:8" x14ac:dyDescent="0.4">
      <c r="B88" s="3">
        <v>81</v>
      </c>
      <c r="C88" s="3" cm="1">
        <f t="array" ref="C88">IF($B88&gt;$C$4,C87+1,ROUND(_xlfn.IFS($B88&lt;=$G$3,($C87+$F$4)*$F$5,$B88&lt;=$H$3,($C87+$G$4)*$G$5,$B88&lt;=$I$3,($C87+$H$4)*$H$5,$B88&gt;$I$3,($C87+$I$4)*$I$5),0))</f>
        <v>171744</v>
      </c>
      <c r="D88" s="4"/>
      <c r="E88" s="4"/>
      <c r="F88" s="4"/>
      <c r="G88" s="4"/>
      <c r="H88" s="4"/>
    </row>
    <row r="89" spans="2:8" x14ac:dyDescent="0.4">
      <c r="B89" s="3">
        <v>82</v>
      </c>
      <c r="C89" s="3" cm="1">
        <f t="array" ref="C89">IF($B89&gt;$C$4,C88+1,ROUND(_xlfn.IFS($B89&lt;=$G$3,($C88+$F$4)*$F$5,$B89&lt;=$H$3,($C88+$G$4)*$G$5,$B89&lt;=$I$3,($C88+$H$4)*$H$5,$B89&gt;$I$3,($C88+$I$4)*$I$5),0))</f>
        <v>180594</v>
      </c>
      <c r="D89" s="4"/>
      <c r="E89" s="4"/>
      <c r="F89" s="4"/>
      <c r="G89" s="4"/>
      <c r="H89" s="4"/>
    </row>
    <row r="90" spans="2:8" x14ac:dyDescent="0.4">
      <c r="B90" s="3">
        <v>83</v>
      </c>
      <c r="C90" s="3" cm="1">
        <f t="array" ref="C90">IF($B90&gt;$C$4,C89+1,ROUND(_xlfn.IFS($B90&lt;=$G$3,($C89+$F$4)*$F$5,$B90&lt;=$H$3,($C89+$G$4)*$G$5,$B90&lt;=$I$3,($C89+$H$4)*$H$5,$B90&gt;$I$3,($C89+$I$4)*$I$5),0))</f>
        <v>189886</v>
      </c>
      <c r="D90" s="4"/>
      <c r="E90" s="4"/>
      <c r="F90" s="4"/>
      <c r="G90" s="4"/>
      <c r="H90" s="4"/>
    </row>
    <row r="91" spans="2:8" x14ac:dyDescent="0.4">
      <c r="B91" s="3">
        <v>84</v>
      </c>
      <c r="C91" s="3" cm="1">
        <f t="array" ref="C91">IF($B91&gt;$C$4,C90+1,ROUND(_xlfn.IFS($B91&lt;=$G$3,($C90+$F$4)*$F$5,$B91&lt;=$H$3,($C90+$G$4)*$G$5,$B91&lt;=$I$3,($C90+$H$4)*$H$5,$B91&gt;$I$3,($C90+$I$4)*$I$5),0))</f>
        <v>199643</v>
      </c>
      <c r="D91" s="4"/>
      <c r="E91" s="4"/>
      <c r="F91" s="4"/>
      <c r="G91" s="4"/>
      <c r="H91" s="4"/>
    </row>
    <row r="92" spans="2:8" x14ac:dyDescent="0.4">
      <c r="B92" s="3">
        <v>85</v>
      </c>
      <c r="C92" s="3" cm="1">
        <f t="array" ref="C92">IF($B92&gt;$C$4,C91+1,ROUND(_xlfn.IFS($B92&lt;=$G$3,($C91+$F$4)*$F$5,$B92&lt;=$H$3,($C91+$G$4)*$G$5,$B92&lt;=$I$3,($C91+$H$4)*$H$5,$B92&gt;$I$3,($C91+$I$4)*$I$5),0))</f>
        <v>209888</v>
      </c>
      <c r="D92" s="4"/>
      <c r="E92" s="4"/>
      <c r="F92" s="4"/>
      <c r="G92" s="4"/>
      <c r="H92" s="4"/>
    </row>
    <row r="93" spans="2:8" x14ac:dyDescent="0.4">
      <c r="B93" s="3">
        <v>86</v>
      </c>
      <c r="C93" s="3" cm="1">
        <f t="array" ref="C93">IF($B93&gt;$C$4,C92+1,ROUND(_xlfn.IFS($B93&lt;=$G$3,($C92+$F$4)*$F$5,$B93&lt;=$H$3,($C92+$G$4)*$G$5,$B93&lt;=$I$3,($C92+$H$4)*$H$5,$B93&gt;$I$3,($C92+$I$4)*$I$5),0))</f>
        <v>220645</v>
      </c>
      <c r="D93" s="4"/>
      <c r="E93" s="4"/>
      <c r="F93" s="4"/>
      <c r="G93" s="4"/>
      <c r="H93" s="4"/>
    </row>
    <row r="94" spans="2:8" x14ac:dyDescent="0.4">
      <c r="B94" s="3">
        <v>87</v>
      </c>
      <c r="C94" s="3" cm="1">
        <f t="array" ref="C94">IF($B94&gt;$C$4,C93+1,ROUND(_xlfn.IFS($B94&lt;=$G$3,($C93+$F$4)*$F$5,$B94&lt;=$H$3,($C93+$G$4)*$G$5,$B94&lt;=$I$3,($C93+$H$4)*$H$5,$B94&gt;$I$3,($C93+$I$4)*$I$5),0))</f>
        <v>231940</v>
      </c>
      <c r="D94" s="4"/>
      <c r="E94" s="4"/>
      <c r="F94" s="4"/>
      <c r="G94" s="4"/>
      <c r="H94" s="4"/>
    </row>
    <row r="95" spans="2:8" x14ac:dyDescent="0.4">
      <c r="B95" s="3">
        <v>88</v>
      </c>
      <c r="C95" s="3" cm="1">
        <f t="array" ref="C95">IF($B95&gt;$C$4,C94+1,ROUND(_xlfn.IFS($B95&lt;=$G$3,($C94+$F$4)*$F$5,$B95&lt;=$H$3,($C94+$G$4)*$G$5,$B95&lt;=$I$3,($C94+$H$4)*$H$5,$B95&gt;$I$3,($C94+$I$4)*$I$5),0))</f>
        <v>243800</v>
      </c>
      <c r="D95" s="4"/>
      <c r="E95" s="4"/>
      <c r="F95" s="4"/>
      <c r="G95" s="4"/>
      <c r="H95" s="4"/>
    </row>
    <row r="96" spans="2:8" x14ac:dyDescent="0.4">
      <c r="B96" s="3">
        <v>89</v>
      </c>
      <c r="C96" s="3" cm="1">
        <f t="array" ref="C96">IF($B96&gt;$C$4,C95+1,ROUND(_xlfn.IFS($B96&lt;=$G$3,($C95+$F$4)*$F$5,$B96&lt;=$H$3,($C95+$G$4)*$G$5,$B96&lt;=$I$3,($C95+$H$4)*$H$5,$B96&gt;$I$3,($C95+$I$4)*$I$5),0))</f>
        <v>256253</v>
      </c>
      <c r="D96" s="4"/>
      <c r="E96" s="4"/>
      <c r="F96" s="4"/>
      <c r="G96" s="4"/>
      <c r="H96" s="4"/>
    </row>
    <row r="97" spans="1:8" x14ac:dyDescent="0.4">
      <c r="B97" s="3">
        <v>90</v>
      </c>
      <c r="C97" s="3" cm="1">
        <f t="array" ref="C97">IF($B97&gt;$C$4,C96+1,ROUND(_xlfn.IFS($B97&lt;=$G$3,($C96+$F$4)*$F$5,$B97&lt;=$H$3,($C96+$G$4)*$G$5,$B97&lt;=$I$3,($C96+$H$4)*$H$5,$B97&gt;$I$3,($C96+$I$4)*$I$5),0))</f>
        <v>269328</v>
      </c>
      <c r="D97" s="4"/>
      <c r="E97" s="4"/>
      <c r="F97" s="4"/>
      <c r="G97" s="4"/>
      <c r="H97" s="4"/>
    </row>
    <row r="98" spans="1:8" x14ac:dyDescent="0.4">
      <c r="B98" s="3">
        <v>91</v>
      </c>
      <c r="C98" s="3" cm="1">
        <f t="array" ref="C98">IF($B98&gt;$C$4,C97+1,ROUND(_xlfn.IFS($B98&lt;=$G$3,($C97+$F$4)*$F$5,$B98&lt;=$H$3,($C97+$G$4)*$G$5,$B98&lt;=$I$3,($C97+$H$4)*$H$5,$B98&gt;$I$3,($C97+$I$4)*$I$5),0))</f>
        <v>283057</v>
      </c>
      <c r="D98" s="4"/>
      <c r="E98" s="4"/>
      <c r="F98" s="4"/>
      <c r="G98" s="4"/>
      <c r="H98" s="4"/>
    </row>
    <row r="99" spans="1:8" x14ac:dyDescent="0.4">
      <c r="B99" s="3">
        <v>92</v>
      </c>
      <c r="C99" s="3" cm="1">
        <f t="array" ref="C99">IF($B99&gt;$C$4,C98+1,ROUND(_xlfn.IFS($B99&lt;=$G$3,($C98+$F$4)*$F$5,$B99&lt;=$H$3,($C98+$G$4)*$G$5,$B99&lt;=$I$3,($C98+$H$4)*$H$5,$B99&gt;$I$3,($C98+$I$4)*$I$5),0))</f>
        <v>297472</v>
      </c>
      <c r="D99" s="4"/>
      <c r="E99" s="4"/>
      <c r="F99" s="4"/>
      <c r="G99" s="4"/>
      <c r="H99" s="4"/>
    </row>
    <row r="100" spans="1:8" x14ac:dyDescent="0.4">
      <c r="B100" s="3">
        <v>93</v>
      </c>
      <c r="C100" s="3" cm="1">
        <f t="array" ref="C100">IF($B100&gt;$C$4,C99+1,ROUND(_xlfn.IFS($B100&lt;=$G$3,($C99+$F$4)*$F$5,$B100&lt;=$H$3,($C99+$G$4)*$G$5,$B100&lt;=$I$3,($C99+$H$4)*$H$5,$B100&gt;$I$3,($C99+$I$4)*$I$5),0))</f>
        <v>312608</v>
      </c>
      <c r="D100" s="4"/>
      <c r="E100" s="4"/>
      <c r="F100" s="4"/>
      <c r="G100" s="4"/>
      <c r="H100" s="4"/>
    </row>
    <row r="101" spans="1:8" x14ac:dyDescent="0.4">
      <c r="B101" s="3">
        <v>94</v>
      </c>
      <c r="C101" s="3" cm="1">
        <f t="array" ref="C101">IF($B101&gt;$C$4,C100+1,ROUND(_xlfn.IFS($B101&lt;=$G$3,($C100+$F$4)*$F$5,$B101&lt;=$H$3,($C100+$G$4)*$G$5,$B101&lt;=$I$3,($C100+$H$4)*$H$5,$B101&gt;$I$3,($C100+$I$4)*$I$5),0))</f>
        <v>328501</v>
      </c>
      <c r="D101" s="4"/>
      <c r="E101" s="4"/>
      <c r="F101" s="4"/>
      <c r="G101" s="4"/>
      <c r="H101" s="4"/>
    </row>
    <row r="102" spans="1:8" x14ac:dyDescent="0.4">
      <c r="B102" s="3">
        <v>95</v>
      </c>
      <c r="C102" s="3" cm="1">
        <f t="array" ref="C102">IF($B102&gt;$C$4,C101+1,ROUND(_xlfn.IFS($B102&lt;=$G$3,($C101+$F$4)*$F$5,$B102&lt;=$H$3,($C101+$G$4)*$G$5,$B102&lt;=$I$3,($C101+$H$4)*$H$5,$B102&gt;$I$3,($C101+$I$4)*$I$5),0))</f>
        <v>345189</v>
      </c>
      <c r="D102" s="4"/>
      <c r="E102" s="4"/>
      <c r="F102" s="4"/>
      <c r="G102" s="4"/>
      <c r="H102" s="4"/>
    </row>
    <row r="103" spans="1:8" x14ac:dyDescent="0.4">
      <c r="B103" s="3">
        <v>96</v>
      </c>
      <c r="C103" s="3" cm="1">
        <f t="array" ref="C103">IF($B103&gt;$C$4,C102+1,ROUND(_xlfn.IFS($B103&lt;=$G$3,($C102+$F$4)*$F$5,$B103&lt;=$H$3,($C102+$G$4)*$G$5,$B103&lt;=$I$3,($C102+$H$4)*$H$5,$B103&gt;$I$3,($C102+$I$4)*$I$5),0))</f>
        <v>362711</v>
      </c>
      <c r="D103" s="4"/>
      <c r="E103" s="4"/>
      <c r="F103" s="4"/>
      <c r="G103" s="4"/>
      <c r="H103" s="4"/>
    </row>
    <row r="104" spans="1:8" x14ac:dyDescent="0.4">
      <c r="B104" s="3">
        <v>97</v>
      </c>
      <c r="C104" s="3" cm="1">
        <f t="array" ref="C104">IF($B104&gt;$C$4,C103+1,ROUND(_xlfn.IFS($B104&lt;=$G$3,($C103+$F$4)*$F$5,$B104&lt;=$H$3,($C103+$G$4)*$G$5,$B104&lt;=$I$3,($C103+$H$4)*$H$5,$B104&gt;$I$3,($C103+$I$4)*$I$5),0))</f>
        <v>381109</v>
      </c>
      <c r="D104" s="4"/>
      <c r="E104" s="4"/>
      <c r="F104" s="4"/>
      <c r="G104" s="4"/>
      <c r="H104" s="4"/>
    </row>
    <row r="105" spans="1:8" x14ac:dyDescent="0.4">
      <c r="B105" s="3">
        <v>98</v>
      </c>
      <c r="C105" s="3" cm="1">
        <f t="array" ref="C105">IF($B105&gt;$C$4,C104+1,ROUND(_xlfn.IFS($B105&lt;=$G$3,($C104+$F$4)*$F$5,$B105&lt;=$H$3,($C104+$G$4)*$G$5,$B105&lt;=$I$3,($C104+$H$4)*$H$5,$B105&gt;$I$3,($C104+$I$4)*$I$5),0))</f>
        <v>400427</v>
      </c>
      <c r="D105" s="4"/>
      <c r="E105" s="4"/>
      <c r="F105" s="4"/>
      <c r="G105" s="4"/>
      <c r="H105" s="4"/>
    </row>
    <row r="106" spans="1:8" x14ac:dyDescent="0.4">
      <c r="B106" s="3">
        <v>99</v>
      </c>
      <c r="C106" s="3" cm="1">
        <f t="array" ref="C106">IF($B106&gt;$C$4,C105+1,ROUND(_xlfn.IFS($B106&lt;=$G$3,($C105+$F$4)*$F$5,$B106&lt;=$H$3,($C105+$G$4)*$G$5,$B106&lt;=$I$3,($C105+$H$4)*$H$5,$B106&gt;$I$3,($C105+$I$4)*$I$5),0))</f>
        <v>420711</v>
      </c>
      <c r="D106" s="4"/>
      <c r="E106" s="4"/>
      <c r="F106" s="4"/>
      <c r="G106" s="4"/>
      <c r="H106" s="4"/>
    </row>
    <row r="107" spans="1:8" x14ac:dyDescent="0.4">
      <c r="B107" s="3">
        <v>100</v>
      </c>
      <c r="C107" s="3" cm="1">
        <f t="array" ref="C107">IF($B107&gt;$C$4,C106+1,ROUND(_xlfn.IFS($B107&lt;=$G$3,($C106+$F$4)*$F$5,$B107&lt;=$H$3,($C106+$G$4)*$G$5,$B107&lt;=$I$3,($C106+$H$4)*$H$5,$B107&gt;$I$3,($C106+$I$4)*$I$5),0))</f>
        <v>442009</v>
      </c>
      <c r="D107" s="4"/>
      <c r="E107" s="4"/>
      <c r="F107" s="4"/>
      <c r="G107" s="4"/>
      <c r="H107" s="4"/>
    </row>
    <row r="108" spans="1:8" x14ac:dyDescent="0.4">
      <c r="A108" s="1" t="s">
        <v>1</v>
      </c>
    </row>
  </sheetData>
  <phoneticPr fontId="1"/>
  <conditionalFormatting sqref="B8:C107">
    <cfRule type="expression" dxfId="0" priority="3">
      <formula>$B8&gt;$C$4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dataList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武村彰宏</dc:creator>
  <cp:lastModifiedBy>伊藤伸哉</cp:lastModifiedBy>
  <dcterms:created xsi:type="dcterms:W3CDTF">2021-10-06T01:45:49Z</dcterms:created>
  <dcterms:modified xsi:type="dcterms:W3CDTF">2022-04-17T09:05:17Z</dcterms:modified>
</cp:coreProperties>
</file>